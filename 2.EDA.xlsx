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STRA\Desktop\Fomc\Final\"/>
    </mc:Choice>
  </mc:AlternateContent>
  <bookViews>
    <workbookView xWindow="0" yWindow="0" windowWidth="20490" windowHeight="6900" activeTab="1"/>
  </bookViews>
  <sheets>
    <sheet name="Parito" sheetId="1" r:id="rId1"/>
    <sheet name="Freq_%" sheetId="2" r:id="rId2"/>
    <sheet name="Inflation" sheetId="4" r:id="rId3"/>
  </sheets>
  <definedNames>
    <definedName name="_xlchart.v1.0" hidden="1">Parito!$C$2:$C$181</definedName>
    <definedName name="_xlchart.v1.1" hidden="1">Parito!$D$1</definedName>
    <definedName name="_xlchart.v1.2" hidden="1">Parito!$D$2:$D$181</definedName>
    <definedName name="_xlchart.v1.3" hidden="1">Parito!$E$1</definedName>
    <definedName name="_xlchart.v1.4" hidden="1">Parito!$E$2:$E$181</definedName>
  </definedNames>
  <calcPr calcId="162913"/>
</workbook>
</file>

<file path=xl/calcChain.xml><?xml version="1.0" encoding="utf-8"?>
<calcChain xmlns="http://schemas.openxmlformats.org/spreadsheetml/2006/main">
  <c r="E18" i="4" l="1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F133" i="2" l="1"/>
  <c r="F134" i="2"/>
  <c r="F135" i="2"/>
  <c r="F136" i="2"/>
  <c r="F137" i="2"/>
  <c r="F138" i="2"/>
  <c r="F139" i="2"/>
  <c r="F140" i="2"/>
  <c r="F141" i="2"/>
  <c r="F103" i="2"/>
  <c r="F104" i="2"/>
  <c r="F105" i="2"/>
  <c r="F106" i="2"/>
  <c r="F107" i="2"/>
  <c r="F108" i="2"/>
  <c r="F109" i="2"/>
  <c r="F110" i="2"/>
  <c r="F111" i="2"/>
  <c r="F102" i="2"/>
  <c r="F93" i="2"/>
  <c r="F94" i="2"/>
  <c r="F95" i="2"/>
  <c r="F96" i="2"/>
  <c r="F97" i="2"/>
  <c r="F98" i="2"/>
  <c r="F99" i="2"/>
  <c r="F100" i="2"/>
  <c r="F101" i="2"/>
  <c r="F92" i="2"/>
  <c r="F53" i="2"/>
  <c r="F54" i="2"/>
  <c r="F55" i="2"/>
  <c r="F56" i="2"/>
  <c r="F57" i="2"/>
  <c r="F58" i="2"/>
  <c r="F59" i="2"/>
  <c r="F60" i="2"/>
  <c r="F61" i="2"/>
  <c r="F52" i="2"/>
  <c r="F23" i="2"/>
  <c r="F24" i="2"/>
  <c r="F25" i="2"/>
  <c r="F26" i="2"/>
  <c r="F27" i="2"/>
  <c r="F28" i="2"/>
  <c r="F29" i="2"/>
  <c r="F30" i="2"/>
  <c r="F31" i="2"/>
  <c r="F22" i="2"/>
  <c r="F173" i="2"/>
  <c r="F174" i="2"/>
  <c r="F175" i="2"/>
  <c r="F176" i="2"/>
  <c r="F177" i="2"/>
  <c r="F178" i="2"/>
  <c r="F179" i="2"/>
  <c r="F180" i="2"/>
  <c r="F181" i="2"/>
  <c r="F172" i="2"/>
  <c r="F163" i="2"/>
  <c r="F164" i="2"/>
  <c r="F165" i="2"/>
  <c r="F166" i="2"/>
  <c r="F167" i="2"/>
  <c r="F168" i="2"/>
  <c r="F169" i="2"/>
  <c r="F170" i="2"/>
  <c r="F171" i="2"/>
  <c r="F162" i="2"/>
  <c r="F153" i="2"/>
  <c r="F154" i="2"/>
  <c r="F155" i="2"/>
  <c r="F156" i="2"/>
  <c r="F157" i="2"/>
  <c r="F158" i="2"/>
  <c r="F159" i="2"/>
  <c r="F160" i="2"/>
  <c r="F161" i="2"/>
  <c r="F152" i="2"/>
  <c r="F143" i="2"/>
  <c r="F144" i="2"/>
  <c r="F145" i="2"/>
  <c r="F146" i="2"/>
  <c r="F147" i="2"/>
  <c r="F148" i="2"/>
  <c r="F149" i="2"/>
  <c r="F150" i="2"/>
  <c r="F151" i="2"/>
  <c r="F142" i="2"/>
  <c r="F132" i="2"/>
  <c r="F123" i="2"/>
  <c r="F124" i="2"/>
  <c r="F125" i="2"/>
  <c r="F126" i="2"/>
  <c r="F127" i="2"/>
  <c r="F128" i="2"/>
  <c r="F129" i="2"/>
  <c r="F130" i="2"/>
  <c r="F131" i="2"/>
  <c r="F122" i="2"/>
  <c r="F113" i="2"/>
  <c r="F114" i="2"/>
  <c r="F115" i="2"/>
  <c r="F116" i="2"/>
  <c r="F117" i="2"/>
  <c r="F118" i="2"/>
  <c r="F119" i="2"/>
  <c r="F120" i="2"/>
  <c r="F121" i="2"/>
  <c r="F112" i="2"/>
  <c r="F83" i="2"/>
  <c r="F84" i="2"/>
  <c r="F85" i="2"/>
  <c r="F86" i="2"/>
  <c r="F87" i="2"/>
  <c r="F88" i="2"/>
  <c r="F89" i="2"/>
  <c r="F90" i="2"/>
  <c r="F91" i="2"/>
  <c r="F82" i="2"/>
  <c r="F73" i="2"/>
  <c r="F74" i="2"/>
  <c r="F75" i="2"/>
  <c r="F76" i="2"/>
  <c r="F77" i="2"/>
  <c r="F78" i="2"/>
  <c r="F79" i="2"/>
  <c r="F80" i="2"/>
  <c r="F81" i="2"/>
  <c r="F72" i="2"/>
  <c r="F63" i="2"/>
  <c r="F64" i="2"/>
  <c r="F65" i="2"/>
  <c r="F66" i="2"/>
  <c r="F67" i="2"/>
  <c r="F68" i="2"/>
  <c r="F69" i="2"/>
  <c r="F70" i="2"/>
  <c r="F71" i="2"/>
  <c r="F62" i="2"/>
  <c r="F43" i="2"/>
  <c r="F44" i="2"/>
  <c r="F45" i="2"/>
  <c r="F46" i="2"/>
  <c r="F47" i="2"/>
  <c r="F48" i="2"/>
  <c r="F49" i="2"/>
  <c r="F50" i="2"/>
  <c r="F51" i="2"/>
  <c r="F42" i="2"/>
  <c r="F33" i="2"/>
  <c r="F34" i="2"/>
  <c r="F35" i="2"/>
  <c r="F36" i="2"/>
  <c r="F37" i="2"/>
  <c r="F38" i="2"/>
  <c r="F39" i="2"/>
  <c r="F40" i="2"/>
  <c r="F41" i="2"/>
  <c r="F32" i="2"/>
  <c r="F13" i="2"/>
  <c r="F14" i="2"/>
  <c r="F15" i="2"/>
  <c r="F16" i="2"/>
  <c r="F17" i="2"/>
  <c r="F18" i="2"/>
  <c r="F19" i="2"/>
  <c r="F20" i="2"/>
  <c r="F21" i="2"/>
  <c r="F12" i="2"/>
  <c r="F3" i="2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<sst xmlns="http://schemas.openxmlformats.org/spreadsheetml/2006/main" count="373" uniqueCount="48">
  <si>
    <t>year</t>
  </si>
  <si>
    <t>word</t>
  </si>
  <si>
    <t>total</t>
  </si>
  <si>
    <t>rank</t>
  </si>
  <si>
    <t>inflation</t>
  </si>
  <si>
    <t>federal</t>
  </si>
  <si>
    <t>economic</t>
  </si>
  <si>
    <t>growth</t>
  </si>
  <si>
    <t>chairman</t>
  </si>
  <si>
    <t>rate</t>
  </si>
  <si>
    <t>action</t>
  </si>
  <si>
    <t>policy</t>
  </si>
  <si>
    <t>energy</t>
  </si>
  <si>
    <t>moderate</t>
  </si>
  <si>
    <t>reserve</t>
  </si>
  <si>
    <t>financial</t>
  </si>
  <si>
    <t>market</t>
  </si>
  <si>
    <t>markets</t>
  </si>
  <si>
    <t>conditions</t>
  </si>
  <si>
    <t>securities</t>
  </si>
  <si>
    <t>credit</t>
  </si>
  <si>
    <t>agency</t>
  </si>
  <si>
    <t>levels</t>
  </si>
  <si>
    <t>low</t>
  </si>
  <si>
    <t>funds</t>
  </si>
  <si>
    <t>consistent</t>
  </si>
  <si>
    <t>mandate</t>
  </si>
  <si>
    <t>holdings</t>
  </si>
  <si>
    <t>continue</t>
  </si>
  <si>
    <t>mortgage</t>
  </si>
  <si>
    <t>pace</t>
  </si>
  <si>
    <t>term</t>
  </si>
  <si>
    <t>percent</t>
  </si>
  <si>
    <t>labor</t>
  </si>
  <si>
    <t>committee s</t>
  </si>
  <si>
    <t>run</t>
  </si>
  <si>
    <t>range</t>
  </si>
  <si>
    <t>employment</t>
  </si>
  <si>
    <t>expected</t>
  </si>
  <si>
    <t>target</t>
  </si>
  <si>
    <t>economy</t>
  </si>
  <si>
    <t>monetary</t>
  </si>
  <si>
    <t>stance</t>
  </si>
  <si>
    <t>information</t>
  </si>
  <si>
    <t>activity</t>
  </si>
  <si>
    <t>remains</t>
  </si>
  <si>
    <t>percentage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</si>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</sst>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of word "Inflation"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Inflation!$C$1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Inflation!$B$2:$B$18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numCache>
            </c:numRef>
          </c:cat>
          <c:val>
            <c:numRef>
              <c:f>Inflation!$C$2:$C$18</c:f>
              <c:numCache>
                <c:formatCode>General</c:formatCode>
                <c:ptCount val="17"/>
                <c:pt idx="0">
                  <c:v>40</c:v>
                </c:pt>
                <c:pt idx="1">
                  <c:v>34</c:v>
                </c:pt>
                <c:pt idx="2">
                  <c:v>30</c:v>
                </c:pt>
                <c:pt idx="3">
                  <c:v>44</c:v>
                </c:pt>
                <c:pt idx="4">
                  <c:v>65</c:v>
                </c:pt>
                <c:pt idx="5">
                  <c:v>44</c:v>
                </c:pt>
                <c:pt idx="6">
                  <c:v>95</c:v>
                </c:pt>
                <c:pt idx="7">
                  <c:v>121</c:v>
                </c:pt>
                <c:pt idx="8">
                  <c:v>96</c:v>
                </c:pt>
                <c:pt idx="9">
                  <c:v>81</c:v>
                </c:pt>
                <c:pt idx="10">
                  <c:v>96</c:v>
                </c:pt>
                <c:pt idx="11">
                  <c:v>75</c:v>
                </c:pt>
                <c:pt idx="12">
                  <c:v>84</c:v>
                </c:pt>
                <c:pt idx="13">
                  <c:v>67</c:v>
                </c:pt>
                <c:pt idx="14">
                  <c:v>73</c:v>
                </c:pt>
                <c:pt idx="15">
                  <c:v>58</c:v>
                </c:pt>
                <c:pt idx="1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A-4F5A-B538-EE1036100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262176"/>
        <c:axId val="141259680"/>
      </c:barChart>
      <c:catAx>
        <c:axId val="141262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59680"/>
        <c:crosses val="autoZero"/>
        <c:auto val="1"/>
        <c:lblAlgn val="ctr"/>
        <c:lblOffset val="100"/>
        <c:noMultiLvlLbl val="0"/>
      </c:catAx>
      <c:valAx>
        <c:axId val="14125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6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Parito Chart - Word Frequency in FOMC</a:t>
            </a:r>
          </a:p>
        </cx:rich>
      </cx:tx>
    </cx:title>
    <cx:plotArea>
      <cx:plotAreaRegion>
        <cx:series layoutId="clusteredColumn" uniqueId="{56139104-D7F7-4BD1-AA0B-3749C47D405E}" formatIdx="0">
          <cx:tx>
            <cx:txData>
              <cx:f>_xlchart.v1.1</cx:f>
              <cx:v>total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EC6B9A11-3AD0-45CB-B3E5-0DC2F862FDDD}" formatIdx="2">
          <cx:tx>
            <cx:txData>
              <cx:f>_xlchart.v1.3</cx:f>
              <cx:v>rank</cx:v>
            </cx:txData>
          </cx:tx>
          <cx:dataLabels pos="inEnd"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FD321D27-AE09-4DFA-BDD7-3668A10A8AFE}" formatIdx="1">
          <cx:axisId val="2"/>
        </cx:series>
        <cx:series layoutId="paretoLine" ownerIdx="1" uniqueId="{3165967D-6E70-442A-8F3C-EC74DE8577D0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1</xdr:row>
      <xdr:rowOff>142874</xdr:rowOff>
    </xdr:from>
    <xdr:to>
      <xdr:col>20</xdr:col>
      <xdr:colOff>47625</xdr:colOff>
      <xdr:row>24</xdr:row>
      <xdr:rowOff>76199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85724</xdr:rowOff>
    </xdr:from>
    <xdr:to>
      <xdr:col>13</xdr:col>
      <xdr:colOff>314325</xdr:colOff>
      <xdr:row>27</xdr:row>
      <xdr:rowOff>152399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workbookViewId="0">
      <selection activeCell="E14" sqref="E14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2006</v>
      </c>
      <c r="C2" t="s">
        <v>4</v>
      </c>
      <c r="D2">
        <v>40</v>
      </c>
      <c r="E2">
        <v>1</v>
      </c>
    </row>
    <row r="3" spans="1:5" x14ac:dyDescent="0.25">
      <c r="A3">
        <v>2</v>
      </c>
      <c r="B3">
        <v>2006</v>
      </c>
      <c r="C3" t="s">
        <v>5</v>
      </c>
      <c r="D3">
        <v>32</v>
      </c>
      <c r="E3">
        <v>2</v>
      </c>
    </row>
    <row r="4" spans="1:5" x14ac:dyDescent="0.25">
      <c r="A4">
        <v>3</v>
      </c>
      <c r="B4">
        <v>2006</v>
      </c>
      <c r="C4" t="s">
        <v>7</v>
      </c>
      <c r="D4">
        <v>19</v>
      </c>
      <c r="E4">
        <v>3</v>
      </c>
    </row>
    <row r="5" spans="1:5" x14ac:dyDescent="0.25">
      <c r="A5">
        <v>4</v>
      </c>
      <c r="B5">
        <v>2006</v>
      </c>
      <c r="C5" t="s">
        <v>6</v>
      </c>
      <c r="D5">
        <v>18</v>
      </c>
      <c r="E5">
        <v>4</v>
      </c>
    </row>
    <row r="6" spans="1:5" x14ac:dyDescent="0.25">
      <c r="A6">
        <v>5</v>
      </c>
      <c r="B6">
        <v>2006</v>
      </c>
      <c r="C6" t="s">
        <v>10</v>
      </c>
      <c r="D6">
        <v>16</v>
      </c>
      <c r="E6">
        <v>5</v>
      </c>
    </row>
    <row r="7" spans="1:5" x14ac:dyDescent="0.25">
      <c r="A7">
        <v>6</v>
      </c>
      <c r="B7">
        <v>2006</v>
      </c>
      <c r="C7" t="s">
        <v>8</v>
      </c>
      <c r="D7">
        <v>16</v>
      </c>
      <c r="E7">
        <v>6</v>
      </c>
    </row>
    <row r="8" spans="1:5" x14ac:dyDescent="0.25">
      <c r="A8">
        <v>7</v>
      </c>
      <c r="B8">
        <v>2006</v>
      </c>
      <c r="C8" t="s">
        <v>9</v>
      </c>
      <c r="D8">
        <v>16</v>
      </c>
      <c r="E8">
        <v>7</v>
      </c>
    </row>
    <row r="9" spans="1:5" x14ac:dyDescent="0.25">
      <c r="A9">
        <v>8</v>
      </c>
      <c r="B9">
        <v>2006</v>
      </c>
      <c r="C9" t="s">
        <v>11</v>
      </c>
      <c r="D9">
        <v>15</v>
      </c>
      <c r="E9">
        <v>8</v>
      </c>
    </row>
    <row r="10" spans="1:5" x14ac:dyDescent="0.25">
      <c r="A10">
        <v>9</v>
      </c>
      <c r="B10">
        <v>2006</v>
      </c>
      <c r="C10" t="s">
        <v>12</v>
      </c>
      <c r="D10">
        <v>14</v>
      </c>
      <c r="E10">
        <v>9</v>
      </c>
    </row>
    <row r="11" spans="1:5" x14ac:dyDescent="0.25">
      <c r="A11">
        <v>10</v>
      </c>
      <c r="B11">
        <v>2006</v>
      </c>
      <c r="C11" t="s">
        <v>16</v>
      </c>
      <c r="D11">
        <v>13</v>
      </c>
      <c r="E11">
        <v>10</v>
      </c>
    </row>
    <row r="12" spans="1:5" x14ac:dyDescent="0.25">
      <c r="A12">
        <v>11</v>
      </c>
      <c r="B12">
        <v>2007</v>
      </c>
      <c r="C12" t="s">
        <v>5</v>
      </c>
      <c r="D12">
        <v>36</v>
      </c>
      <c r="E12">
        <v>1</v>
      </c>
    </row>
    <row r="13" spans="1:5" x14ac:dyDescent="0.25">
      <c r="A13">
        <v>12</v>
      </c>
      <c r="B13">
        <v>2007</v>
      </c>
      <c r="C13" t="s">
        <v>4</v>
      </c>
      <c r="D13">
        <v>34</v>
      </c>
      <c r="E13">
        <v>2</v>
      </c>
    </row>
    <row r="14" spans="1:5" x14ac:dyDescent="0.25">
      <c r="A14">
        <v>13</v>
      </c>
      <c r="B14">
        <v>2007</v>
      </c>
      <c r="C14" t="s">
        <v>7</v>
      </c>
      <c r="D14">
        <v>23</v>
      </c>
      <c r="E14">
        <v>3</v>
      </c>
    </row>
    <row r="15" spans="1:5" x14ac:dyDescent="0.25">
      <c r="A15">
        <v>14</v>
      </c>
      <c r="B15">
        <v>2007</v>
      </c>
      <c r="C15" t="s">
        <v>6</v>
      </c>
      <c r="D15">
        <v>20</v>
      </c>
      <c r="E15">
        <v>4</v>
      </c>
    </row>
    <row r="16" spans="1:5" x14ac:dyDescent="0.25">
      <c r="A16">
        <v>15</v>
      </c>
      <c r="B16">
        <v>2007</v>
      </c>
      <c r="C16" t="s">
        <v>10</v>
      </c>
      <c r="D16">
        <v>19</v>
      </c>
      <c r="E16">
        <v>5</v>
      </c>
    </row>
    <row r="17" spans="1:5" x14ac:dyDescent="0.25">
      <c r="A17">
        <v>16</v>
      </c>
      <c r="B17">
        <v>2007</v>
      </c>
      <c r="C17" t="s">
        <v>13</v>
      </c>
      <c r="D17">
        <v>19</v>
      </c>
      <c r="E17">
        <v>6</v>
      </c>
    </row>
    <row r="18" spans="1:5" x14ac:dyDescent="0.25">
      <c r="A18">
        <v>17</v>
      </c>
      <c r="B18">
        <v>2007</v>
      </c>
      <c r="C18" t="s">
        <v>11</v>
      </c>
      <c r="D18">
        <v>19</v>
      </c>
      <c r="E18">
        <v>7</v>
      </c>
    </row>
    <row r="19" spans="1:5" x14ac:dyDescent="0.25">
      <c r="A19">
        <v>18</v>
      </c>
      <c r="B19">
        <v>2007</v>
      </c>
      <c r="C19" t="s">
        <v>8</v>
      </c>
      <c r="D19">
        <v>18</v>
      </c>
      <c r="E19">
        <v>8</v>
      </c>
    </row>
    <row r="20" spans="1:5" x14ac:dyDescent="0.25">
      <c r="A20">
        <v>19</v>
      </c>
      <c r="B20">
        <v>2007</v>
      </c>
      <c r="C20" t="s">
        <v>16</v>
      </c>
      <c r="D20">
        <v>15</v>
      </c>
      <c r="E20">
        <v>9</v>
      </c>
    </row>
    <row r="21" spans="1:5" x14ac:dyDescent="0.25">
      <c r="A21">
        <v>20</v>
      </c>
      <c r="B21">
        <v>2007</v>
      </c>
      <c r="C21" t="s">
        <v>14</v>
      </c>
      <c r="D21">
        <v>15</v>
      </c>
      <c r="E21">
        <v>10</v>
      </c>
    </row>
    <row r="22" spans="1:5" x14ac:dyDescent="0.25">
      <c r="A22">
        <v>21</v>
      </c>
      <c r="B22">
        <v>2008</v>
      </c>
      <c r="C22" t="s">
        <v>5</v>
      </c>
      <c r="D22">
        <v>58</v>
      </c>
      <c r="E22">
        <v>1</v>
      </c>
    </row>
    <row r="23" spans="1:5" x14ac:dyDescent="0.25">
      <c r="A23">
        <v>22</v>
      </c>
      <c r="B23">
        <v>2008</v>
      </c>
      <c r="C23" t="s">
        <v>6</v>
      </c>
      <c r="D23">
        <v>43</v>
      </c>
      <c r="E23">
        <v>2</v>
      </c>
    </row>
    <row r="24" spans="1:5" x14ac:dyDescent="0.25">
      <c r="A24">
        <v>23</v>
      </c>
      <c r="B24">
        <v>2008</v>
      </c>
      <c r="C24" t="s">
        <v>7</v>
      </c>
      <c r="D24">
        <v>31</v>
      </c>
      <c r="E24">
        <v>3</v>
      </c>
    </row>
    <row r="25" spans="1:5" x14ac:dyDescent="0.25">
      <c r="A25">
        <v>24</v>
      </c>
      <c r="B25">
        <v>2008</v>
      </c>
      <c r="C25" t="s">
        <v>14</v>
      </c>
      <c r="D25">
        <v>31</v>
      </c>
      <c r="E25">
        <v>4</v>
      </c>
    </row>
    <row r="26" spans="1:5" x14ac:dyDescent="0.25">
      <c r="A26">
        <v>25</v>
      </c>
      <c r="B26">
        <v>2008</v>
      </c>
      <c r="C26" t="s">
        <v>10</v>
      </c>
      <c r="D26">
        <v>30</v>
      </c>
      <c r="E26">
        <v>5</v>
      </c>
    </row>
    <row r="27" spans="1:5" x14ac:dyDescent="0.25">
      <c r="A27">
        <v>26</v>
      </c>
      <c r="B27">
        <v>2008</v>
      </c>
      <c r="C27" t="s">
        <v>4</v>
      </c>
      <c r="D27">
        <v>30</v>
      </c>
      <c r="E27">
        <v>6</v>
      </c>
    </row>
    <row r="28" spans="1:5" x14ac:dyDescent="0.25">
      <c r="A28">
        <v>27</v>
      </c>
      <c r="B28">
        <v>2008</v>
      </c>
      <c r="C28" t="s">
        <v>9</v>
      </c>
      <c r="D28">
        <v>24</v>
      </c>
      <c r="E28">
        <v>7</v>
      </c>
    </row>
    <row r="29" spans="1:5" x14ac:dyDescent="0.25">
      <c r="A29">
        <v>28</v>
      </c>
      <c r="B29">
        <v>2008</v>
      </c>
      <c r="C29" t="s">
        <v>15</v>
      </c>
      <c r="D29">
        <v>23</v>
      </c>
      <c r="E29">
        <v>8</v>
      </c>
    </row>
    <row r="30" spans="1:5" x14ac:dyDescent="0.25">
      <c r="A30">
        <v>29</v>
      </c>
      <c r="B30">
        <v>2008</v>
      </c>
      <c r="C30" t="s">
        <v>16</v>
      </c>
      <c r="D30">
        <v>21</v>
      </c>
      <c r="E30">
        <v>9</v>
      </c>
    </row>
    <row r="31" spans="1:5" x14ac:dyDescent="0.25">
      <c r="A31">
        <v>30</v>
      </c>
      <c r="B31">
        <v>2008</v>
      </c>
      <c r="C31" t="s">
        <v>11</v>
      </c>
      <c r="D31">
        <v>21</v>
      </c>
      <c r="E31">
        <v>10</v>
      </c>
    </row>
    <row r="32" spans="1:5" x14ac:dyDescent="0.25">
      <c r="A32">
        <v>31</v>
      </c>
      <c r="B32">
        <v>2009</v>
      </c>
      <c r="C32" t="s">
        <v>5</v>
      </c>
      <c r="D32">
        <v>67</v>
      </c>
      <c r="E32">
        <v>1</v>
      </c>
    </row>
    <row r="33" spans="1:5" x14ac:dyDescent="0.25">
      <c r="A33">
        <v>32</v>
      </c>
      <c r="B33">
        <v>2009</v>
      </c>
      <c r="C33" t="s">
        <v>6</v>
      </c>
      <c r="D33">
        <v>53</v>
      </c>
      <c r="E33">
        <v>2</v>
      </c>
    </row>
    <row r="34" spans="1:5" x14ac:dyDescent="0.25">
      <c r="A34">
        <v>33</v>
      </c>
      <c r="B34">
        <v>2009</v>
      </c>
      <c r="C34" t="s">
        <v>17</v>
      </c>
      <c r="D34">
        <v>42</v>
      </c>
      <c r="E34">
        <v>3</v>
      </c>
    </row>
    <row r="35" spans="1:5" x14ac:dyDescent="0.25">
      <c r="A35">
        <v>34</v>
      </c>
      <c r="B35">
        <v>2009</v>
      </c>
      <c r="C35" t="s">
        <v>14</v>
      </c>
      <c r="D35">
        <v>35</v>
      </c>
      <c r="E35">
        <v>4</v>
      </c>
    </row>
    <row r="36" spans="1:5" x14ac:dyDescent="0.25">
      <c r="A36">
        <v>35</v>
      </c>
      <c r="B36">
        <v>2009</v>
      </c>
      <c r="C36" t="s">
        <v>18</v>
      </c>
      <c r="D36">
        <v>32</v>
      </c>
      <c r="E36">
        <v>5</v>
      </c>
    </row>
    <row r="37" spans="1:5" x14ac:dyDescent="0.25">
      <c r="A37">
        <v>36</v>
      </c>
      <c r="B37">
        <v>2009</v>
      </c>
      <c r="C37" t="s">
        <v>15</v>
      </c>
      <c r="D37">
        <v>29</v>
      </c>
      <c r="E37">
        <v>6</v>
      </c>
    </row>
    <row r="38" spans="1:5" x14ac:dyDescent="0.25">
      <c r="A38">
        <v>37</v>
      </c>
      <c r="B38">
        <v>2009</v>
      </c>
      <c r="C38" t="s">
        <v>19</v>
      </c>
      <c r="D38">
        <v>29</v>
      </c>
      <c r="E38">
        <v>7</v>
      </c>
    </row>
    <row r="39" spans="1:5" x14ac:dyDescent="0.25">
      <c r="A39">
        <v>38</v>
      </c>
      <c r="B39">
        <v>2009</v>
      </c>
      <c r="C39" t="s">
        <v>20</v>
      </c>
      <c r="D39">
        <v>28</v>
      </c>
      <c r="E39">
        <v>8</v>
      </c>
    </row>
    <row r="40" spans="1:5" x14ac:dyDescent="0.25">
      <c r="A40">
        <v>39</v>
      </c>
      <c r="B40">
        <v>2009</v>
      </c>
      <c r="C40" t="s">
        <v>16</v>
      </c>
      <c r="D40">
        <v>21</v>
      </c>
      <c r="E40">
        <v>9</v>
      </c>
    </row>
    <row r="41" spans="1:5" x14ac:dyDescent="0.25">
      <c r="A41">
        <v>40</v>
      </c>
      <c r="B41">
        <v>2009</v>
      </c>
      <c r="C41" t="s">
        <v>21</v>
      </c>
      <c r="D41">
        <v>19</v>
      </c>
      <c r="E41">
        <v>10</v>
      </c>
    </row>
    <row r="42" spans="1:5" x14ac:dyDescent="0.25">
      <c r="A42">
        <v>41</v>
      </c>
      <c r="B42">
        <v>2010</v>
      </c>
      <c r="C42" t="s">
        <v>5</v>
      </c>
      <c r="D42">
        <v>54</v>
      </c>
      <c r="E42">
        <v>1</v>
      </c>
    </row>
    <row r="43" spans="1:5" x14ac:dyDescent="0.25">
      <c r="A43">
        <v>42</v>
      </c>
      <c r="B43">
        <v>2010</v>
      </c>
      <c r="C43" t="s">
        <v>6</v>
      </c>
      <c r="D43">
        <v>46</v>
      </c>
      <c r="E43">
        <v>2</v>
      </c>
    </row>
    <row r="44" spans="1:5" x14ac:dyDescent="0.25">
      <c r="A44">
        <v>43</v>
      </c>
      <c r="B44">
        <v>2010</v>
      </c>
      <c r="C44" t="s">
        <v>4</v>
      </c>
      <c r="D44">
        <v>44</v>
      </c>
      <c r="E44">
        <v>3</v>
      </c>
    </row>
    <row r="45" spans="1:5" x14ac:dyDescent="0.25">
      <c r="A45">
        <v>44</v>
      </c>
      <c r="B45">
        <v>2010</v>
      </c>
      <c r="C45" t="s">
        <v>22</v>
      </c>
      <c r="D45">
        <v>31</v>
      </c>
      <c r="E45">
        <v>4</v>
      </c>
    </row>
    <row r="46" spans="1:5" x14ac:dyDescent="0.25">
      <c r="A46">
        <v>45</v>
      </c>
      <c r="B46">
        <v>2010</v>
      </c>
      <c r="C46" t="s">
        <v>11</v>
      </c>
      <c r="D46">
        <v>28</v>
      </c>
      <c r="E46">
        <v>5</v>
      </c>
    </row>
    <row r="47" spans="1:5" x14ac:dyDescent="0.25">
      <c r="A47">
        <v>46</v>
      </c>
      <c r="B47">
        <v>2010</v>
      </c>
      <c r="C47" t="s">
        <v>9</v>
      </c>
      <c r="D47">
        <v>28</v>
      </c>
      <c r="E47">
        <v>6</v>
      </c>
    </row>
    <row r="48" spans="1:5" x14ac:dyDescent="0.25">
      <c r="A48">
        <v>47</v>
      </c>
      <c r="B48">
        <v>2010</v>
      </c>
      <c r="C48" t="s">
        <v>15</v>
      </c>
      <c r="D48">
        <v>26</v>
      </c>
      <c r="E48">
        <v>7</v>
      </c>
    </row>
    <row r="49" spans="1:5" x14ac:dyDescent="0.25">
      <c r="A49">
        <v>48</v>
      </c>
      <c r="B49">
        <v>2010</v>
      </c>
      <c r="C49" t="s">
        <v>19</v>
      </c>
      <c r="D49">
        <v>26</v>
      </c>
      <c r="E49">
        <v>8</v>
      </c>
    </row>
    <row r="50" spans="1:5" x14ac:dyDescent="0.25">
      <c r="A50">
        <v>49</v>
      </c>
      <c r="B50">
        <v>2010</v>
      </c>
      <c r="C50" t="s">
        <v>47</v>
      </c>
      <c r="D50">
        <v>24</v>
      </c>
      <c r="E50">
        <v>9</v>
      </c>
    </row>
    <row r="51" spans="1:5" x14ac:dyDescent="0.25">
      <c r="A51">
        <v>50</v>
      </c>
      <c r="B51">
        <v>2010</v>
      </c>
      <c r="C51" t="s">
        <v>23</v>
      </c>
      <c r="D51">
        <v>24</v>
      </c>
      <c r="E51">
        <v>10</v>
      </c>
    </row>
    <row r="52" spans="1:5" x14ac:dyDescent="0.25">
      <c r="A52">
        <v>51</v>
      </c>
      <c r="B52">
        <v>2011</v>
      </c>
      <c r="C52" t="s">
        <v>4</v>
      </c>
      <c r="D52">
        <v>65</v>
      </c>
      <c r="E52">
        <v>1</v>
      </c>
    </row>
    <row r="53" spans="1:5" x14ac:dyDescent="0.25">
      <c r="A53">
        <v>52</v>
      </c>
      <c r="B53">
        <v>2011</v>
      </c>
      <c r="C53" t="s">
        <v>6</v>
      </c>
      <c r="D53">
        <v>46</v>
      </c>
      <c r="E53">
        <v>2</v>
      </c>
    </row>
    <row r="54" spans="1:5" x14ac:dyDescent="0.25">
      <c r="A54">
        <v>53</v>
      </c>
      <c r="B54">
        <v>2011</v>
      </c>
      <c r="C54" t="s">
        <v>22</v>
      </c>
      <c r="D54">
        <v>36</v>
      </c>
      <c r="E54">
        <v>3</v>
      </c>
    </row>
    <row r="55" spans="1:5" x14ac:dyDescent="0.25">
      <c r="A55">
        <v>54</v>
      </c>
      <c r="B55">
        <v>2011</v>
      </c>
      <c r="C55" t="s">
        <v>5</v>
      </c>
      <c r="D55">
        <v>34</v>
      </c>
      <c r="E55">
        <v>4</v>
      </c>
    </row>
    <row r="56" spans="1:5" x14ac:dyDescent="0.25">
      <c r="A56">
        <v>55</v>
      </c>
      <c r="B56">
        <v>2011</v>
      </c>
      <c r="C56" t="s">
        <v>19</v>
      </c>
      <c r="D56">
        <v>34</v>
      </c>
      <c r="E56">
        <v>5</v>
      </c>
    </row>
    <row r="57" spans="1:5" x14ac:dyDescent="0.25">
      <c r="A57">
        <v>56</v>
      </c>
      <c r="B57">
        <v>2011</v>
      </c>
      <c r="C57" t="s">
        <v>25</v>
      </c>
      <c r="D57">
        <v>32</v>
      </c>
      <c r="E57">
        <v>6</v>
      </c>
    </row>
    <row r="58" spans="1:5" x14ac:dyDescent="0.25">
      <c r="A58">
        <v>57</v>
      </c>
      <c r="B58">
        <v>2011</v>
      </c>
      <c r="C58" t="s">
        <v>26</v>
      </c>
      <c r="D58">
        <v>32</v>
      </c>
      <c r="E58">
        <v>7</v>
      </c>
    </row>
    <row r="59" spans="1:5" x14ac:dyDescent="0.25">
      <c r="A59">
        <v>58</v>
      </c>
      <c r="B59">
        <v>2011</v>
      </c>
      <c r="C59" t="s">
        <v>9</v>
      </c>
      <c r="D59">
        <v>31</v>
      </c>
      <c r="E59">
        <v>8</v>
      </c>
    </row>
    <row r="60" spans="1:5" x14ac:dyDescent="0.25">
      <c r="A60">
        <v>59</v>
      </c>
      <c r="B60">
        <v>2011</v>
      </c>
      <c r="C60" t="s">
        <v>27</v>
      </c>
      <c r="D60">
        <v>26</v>
      </c>
      <c r="E60">
        <v>9</v>
      </c>
    </row>
    <row r="61" spans="1:5" x14ac:dyDescent="0.25">
      <c r="A61">
        <v>60</v>
      </c>
      <c r="B61">
        <v>2011</v>
      </c>
      <c r="C61" t="s">
        <v>28</v>
      </c>
      <c r="D61">
        <v>24</v>
      </c>
      <c r="E61">
        <v>10</v>
      </c>
    </row>
    <row r="62" spans="1:5" x14ac:dyDescent="0.25">
      <c r="A62">
        <v>61</v>
      </c>
      <c r="B62">
        <v>2012</v>
      </c>
      <c r="C62" t="s">
        <v>6</v>
      </c>
      <c r="D62">
        <v>49</v>
      </c>
      <c r="E62">
        <v>1</v>
      </c>
    </row>
    <row r="63" spans="1:5" x14ac:dyDescent="0.25">
      <c r="A63">
        <v>62</v>
      </c>
      <c r="B63">
        <v>2012</v>
      </c>
      <c r="C63" t="s">
        <v>9</v>
      </c>
      <c r="D63">
        <v>48</v>
      </c>
      <c r="E63">
        <v>2</v>
      </c>
    </row>
    <row r="64" spans="1:5" x14ac:dyDescent="0.25">
      <c r="A64">
        <v>63</v>
      </c>
      <c r="B64">
        <v>2012</v>
      </c>
      <c r="C64" t="s">
        <v>19</v>
      </c>
      <c r="D64">
        <v>46</v>
      </c>
      <c r="E64">
        <v>3</v>
      </c>
    </row>
    <row r="65" spans="1:5" x14ac:dyDescent="0.25">
      <c r="A65">
        <v>64</v>
      </c>
      <c r="B65">
        <v>2012</v>
      </c>
      <c r="C65" t="s">
        <v>4</v>
      </c>
      <c r="D65">
        <v>44</v>
      </c>
      <c r="E65">
        <v>4</v>
      </c>
    </row>
    <row r="66" spans="1:5" x14ac:dyDescent="0.25">
      <c r="A66">
        <v>65</v>
      </c>
      <c r="B66">
        <v>2012</v>
      </c>
      <c r="C66" t="s">
        <v>5</v>
      </c>
      <c r="D66">
        <v>39</v>
      </c>
      <c r="E66">
        <v>5</v>
      </c>
    </row>
    <row r="67" spans="1:5" x14ac:dyDescent="0.25">
      <c r="A67">
        <v>66</v>
      </c>
      <c r="B67">
        <v>2012</v>
      </c>
      <c r="C67" t="s">
        <v>21</v>
      </c>
      <c r="D67">
        <v>32</v>
      </c>
      <c r="E67">
        <v>6</v>
      </c>
    </row>
    <row r="68" spans="1:5" x14ac:dyDescent="0.25">
      <c r="A68">
        <v>67</v>
      </c>
      <c r="B68">
        <v>2012</v>
      </c>
      <c r="C68" t="s">
        <v>11</v>
      </c>
      <c r="D68">
        <v>31</v>
      </c>
      <c r="E68">
        <v>7</v>
      </c>
    </row>
    <row r="69" spans="1:5" x14ac:dyDescent="0.25">
      <c r="A69">
        <v>68</v>
      </c>
      <c r="B69">
        <v>2012</v>
      </c>
      <c r="C69" t="s">
        <v>29</v>
      </c>
      <c r="D69">
        <v>27</v>
      </c>
      <c r="E69">
        <v>8</v>
      </c>
    </row>
    <row r="70" spans="1:5" x14ac:dyDescent="0.25">
      <c r="A70">
        <v>69</v>
      </c>
      <c r="B70">
        <v>2012</v>
      </c>
      <c r="C70" t="s">
        <v>25</v>
      </c>
      <c r="D70">
        <v>26</v>
      </c>
      <c r="E70">
        <v>9</v>
      </c>
    </row>
    <row r="71" spans="1:5" x14ac:dyDescent="0.25">
      <c r="A71">
        <v>70</v>
      </c>
      <c r="B71">
        <v>2012</v>
      </c>
      <c r="C71" t="s">
        <v>26</v>
      </c>
      <c r="D71">
        <v>25</v>
      </c>
      <c r="E71">
        <v>10</v>
      </c>
    </row>
    <row r="72" spans="1:5" x14ac:dyDescent="0.25">
      <c r="A72">
        <v>71</v>
      </c>
      <c r="B72">
        <v>2013</v>
      </c>
      <c r="C72" t="s">
        <v>4</v>
      </c>
      <c r="D72">
        <v>95</v>
      </c>
      <c r="E72">
        <v>1</v>
      </c>
    </row>
    <row r="73" spans="1:5" x14ac:dyDescent="0.25">
      <c r="A73">
        <v>72</v>
      </c>
      <c r="B73">
        <v>2013</v>
      </c>
      <c r="C73" t="s">
        <v>6</v>
      </c>
      <c r="D73">
        <v>70</v>
      </c>
      <c r="E73">
        <v>2</v>
      </c>
    </row>
    <row r="74" spans="1:5" x14ac:dyDescent="0.25">
      <c r="A74">
        <v>73</v>
      </c>
      <c r="B74">
        <v>2013</v>
      </c>
      <c r="C74" t="s">
        <v>11</v>
      </c>
      <c r="D74">
        <v>66</v>
      </c>
      <c r="E74">
        <v>3</v>
      </c>
    </row>
    <row r="75" spans="1:5" x14ac:dyDescent="0.25">
      <c r="A75">
        <v>74</v>
      </c>
      <c r="B75">
        <v>2013</v>
      </c>
      <c r="C75" t="s">
        <v>9</v>
      </c>
      <c r="D75">
        <v>52</v>
      </c>
      <c r="E75">
        <v>4</v>
      </c>
    </row>
    <row r="76" spans="1:5" x14ac:dyDescent="0.25">
      <c r="A76">
        <v>75</v>
      </c>
      <c r="B76">
        <v>2013</v>
      </c>
      <c r="C76" t="s">
        <v>19</v>
      </c>
      <c r="D76">
        <v>51</v>
      </c>
      <c r="E76">
        <v>5</v>
      </c>
    </row>
    <row r="77" spans="1:5" x14ac:dyDescent="0.25">
      <c r="A77">
        <v>76</v>
      </c>
      <c r="B77">
        <v>2013</v>
      </c>
      <c r="C77" t="s">
        <v>30</v>
      </c>
      <c r="D77">
        <v>49</v>
      </c>
      <c r="E77">
        <v>6</v>
      </c>
    </row>
    <row r="78" spans="1:5" x14ac:dyDescent="0.25">
      <c r="A78">
        <v>77</v>
      </c>
      <c r="B78">
        <v>2013</v>
      </c>
      <c r="C78" t="s">
        <v>16</v>
      </c>
      <c r="D78">
        <v>48</v>
      </c>
      <c r="E78">
        <v>7</v>
      </c>
    </row>
    <row r="79" spans="1:5" x14ac:dyDescent="0.25">
      <c r="A79">
        <v>78</v>
      </c>
      <c r="B79">
        <v>2013</v>
      </c>
      <c r="C79" t="s">
        <v>31</v>
      </c>
      <c r="D79">
        <v>48</v>
      </c>
      <c r="E79">
        <v>8</v>
      </c>
    </row>
    <row r="80" spans="1:5" x14ac:dyDescent="0.25">
      <c r="A80">
        <v>79</v>
      </c>
      <c r="B80">
        <v>2013</v>
      </c>
      <c r="C80" t="s">
        <v>29</v>
      </c>
      <c r="D80">
        <v>43</v>
      </c>
      <c r="E80">
        <v>9</v>
      </c>
    </row>
    <row r="81" spans="1:5" x14ac:dyDescent="0.25">
      <c r="A81">
        <v>80</v>
      </c>
      <c r="B81">
        <v>2013</v>
      </c>
      <c r="C81" t="s">
        <v>32</v>
      </c>
      <c r="D81">
        <v>42</v>
      </c>
      <c r="E81">
        <v>10</v>
      </c>
    </row>
    <row r="82" spans="1:5" x14ac:dyDescent="0.25">
      <c r="A82">
        <v>81</v>
      </c>
      <c r="B82">
        <v>2014</v>
      </c>
      <c r="C82" t="s">
        <v>4</v>
      </c>
      <c r="D82">
        <v>121</v>
      </c>
      <c r="E82">
        <v>1</v>
      </c>
    </row>
    <row r="83" spans="1:5" x14ac:dyDescent="0.25">
      <c r="A83">
        <v>82</v>
      </c>
      <c r="B83">
        <v>2014</v>
      </c>
      <c r="C83" t="s">
        <v>16</v>
      </c>
      <c r="D83">
        <v>80</v>
      </c>
      <c r="E83">
        <v>2</v>
      </c>
    </row>
    <row r="84" spans="1:5" x14ac:dyDescent="0.25">
      <c r="A84">
        <v>83</v>
      </c>
      <c r="B84">
        <v>2014</v>
      </c>
      <c r="C84" t="s">
        <v>33</v>
      </c>
      <c r="D84">
        <v>72</v>
      </c>
      <c r="E84">
        <v>3</v>
      </c>
    </row>
    <row r="85" spans="1:5" x14ac:dyDescent="0.25">
      <c r="A85">
        <v>84</v>
      </c>
      <c r="B85">
        <v>2014</v>
      </c>
      <c r="C85" t="s">
        <v>19</v>
      </c>
      <c r="D85">
        <v>64</v>
      </c>
      <c r="E85">
        <v>4</v>
      </c>
    </row>
    <row r="86" spans="1:5" x14ac:dyDescent="0.25">
      <c r="A86">
        <v>85</v>
      </c>
      <c r="B86">
        <v>2014</v>
      </c>
      <c r="C86" t="s">
        <v>34</v>
      </c>
      <c r="D86">
        <v>58</v>
      </c>
      <c r="E86">
        <v>5</v>
      </c>
    </row>
    <row r="87" spans="1:5" x14ac:dyDescent="0.25">
      <c r="A87">
        <v>86</v>
      </c>
      <c r="B87">
        <v>2014</v>
      </c>
      <c r="C87" t="s">
        <v>11</v>
      </c>
      <c r="D87">
        <v>57</v>
      </c>
      <c r="E87">
        <v>6</v>
      </c>
    </row>
    <row r="88" spans="1:5" x14ac:dyDescent="0.25">
      <c r="A88">
        <v>87</v>
      </c>
      <c r="B88">
        <v>2014</v>
      </c>
      <c r="C88" t="s">
        <v>6</v>
      </c>
      <c r="D88">
        <v>56</v>
      </c>
      <c r="E88">
        <v>7</v>
      </c>
    </row>
    <row r="89" spans="1:5" x14ac:dyDescent="0.25">
      <c r="A89">
        <v>88</v>
      </c>
      <c r="B89">
        <v>2014</v>
      </c>
      <c r="C89" t="s">
        <v>18</v>
      </c>
      <c r="D89">
        <v>51</v>
      </c>
      <c r="E89">
        <v>8</v>
      </c>
    </row>
    <row r="90" spans="1:5" x14ac:dyDescent="0.25">
      <c r="A90">
        <v>89</v>
      </c>
      <c r="B90">
        <v>2014</v>
      </c>
      <c r="C90" t="s">
        <v>32</v>
      </c>
      <c r="D90">
        <v>48</v>
      </c>
      <c r="E90">
        <v>9</v>
      </c>
    </row>
    <row r="91" spans="1:5" x14ac:dyDescent="0.25">
      <c r="A91">
        <v>90</v>
      </c>
      <c r="B91">
        <v>2014</v>
      </c>
      <c r="C91" t="s">
        <v>35</v>
      </c>
      <c r="D91">
        <v>48</v>
      </c>
      <c r="E91">
        <v>10</v>
      </c>
    </row>
    <row r="92" spans="1:5" x14ac:dyDescent="0.25">
      <c r="A92">
        <v>91</v>
      </c>
      <c r="B92">
        <v>2015</v>
      </c>
      <c r="C92" t="s">
        <v>4</v>
      </c>
      <c r="D92">
        <v>96</v>
      </c>
      <c r="E92">
        <v>1</v>
      </c>
    </row>
    <row r="93" spans="1:5" x14ac:dyDescent="0.25">
      <c r="A93">
        <v>92</v>
      </c>
      <c r="B93">
        <v>2015</v>
      </c>
      <c r="C93" t="s">
        <v>16</v>
      </c>
      <c r="D93">
        <v>68</v>
      </c>
      <c r="E93">
        <v>2</v>
      </c>
    </row>
    <row r="94" spans="1:5" x14ac:dyDescent="0.25">
      <c r="A94">
        <v>93</v>
      </c>
      <c r="B94">
        <v>2015</v>
      </c>
      <c r="C94" t="s">
        <v>33</v>
      </c>
      <c r="D94">
        <v>60</v>
      </c>
      <c r="E94">
        <v>3</v>
      </c>
    </row>
    <row r="95" spans="1:5" x14ac:dyDescent="0.25">
      <c r="A95">
        <v>94</v>
      </c>
      <c r="B95">
        <v>2015</v>
      </c>
      <c r="C95" t="s">
        <v>5</v>
      </c>
      <c r="D95">
        <v>46</v>
      </c>
      <c r="E95">
        <v>4</v>
      </c>
    </row>
    <row r="96" spans="1:5" x14ac:dyDescent="0.25">
      <c r="A96">
        <v>95</v>
      </c>
      <c r="B96">
        <v>2015</v>
      </c>
      <c r="C96" t="s">
        <v>11</v>
      </c>
      <c r="D96">
        <v>42</v>
      </c>
      <c r="E96">
        <v>5</v>
      </c>
    </row>
    <row r="97" spans="1:5" x14ac:dyDescent="0.25">
      <c r="A97">
        <v>96</v>
      </c>
      <c r="B97">
        <v>2015</v>
      </c>
      <c r="C97" t="s">
        <v>36</v>
      </c>
      <c r="D97">
        <v>42</v>
      </c>
      <c r="E97">
        <v>6</v>
      </c>
    </row>
    <row r="98" spans="1:5" x14ac:dyDescent="0.25">
      <c r="A98">
        <v>97</v>
      </c>
      <c r="B98">
        <v>2015</v>
      </c>
      <c r="C98" t="s">
        <v>32</v>
      </c>
      <c r="D98">
        <v>41</v>
      </c>
      <c r="E98">
        <v>7</v>
      </c>
    </row>
    <row r="99" spans="1:5" x14ac:dyDescent="0.25">
      <c r="A99">
        <v>98</v>
      </c>
      <c r="B99">
        <v>2015</v>
      </c>
      <c r="C99" t="s">
        <v>6</v>
      </c>
      <c r="D99">
        <v>39</v>
      </c>
      <c r="E99">
        <v>8</v>
      </c>
    </row>
    <row r="100" spans="1:5" x14ac:dyDescent="0.25">
      <c r="A100">
        <v>99</v>
      </c>
      <c r="B100">
        <v>2015</v>
      </c>
      <c r="C100" t="s">
        <v>37</v>
      </c>
      <c r="D100">
        <v>39</v>
      </c>
      <c r="E100">
        <v>9</v>
      </c>
    </row>
    <row r="101" spans="1:5" x14ac:dyDescent="0.25">
      <c r="A101">
        <v>100</v>
      </c>
      <c r="B101">
        <v>2015</v>
      </c>
      <c r="C101" t="s">
        <v>31</v>
      </c>
      <c r="D101">
        <v>39</v>
      </c>
      <c r="E101">
        <v>10</v>
      </c>
    </row>
    <row r="102" spans="1:5" x14ac:dyDescent="0.25">
      <c r="A102">
        <v>101</v>
      </c>
      <c r="B102">
        <v>2016</v>
      </c>
      <c r="C102" t="s">
        <v>4</v>
      </c>
      <c r="D102">
        <v>81</v>
      </c>
      <c r="E102">
        <v>1</v>
      </c>
    </row>
    <row r="103" spans="1:5" x14ac:dyDescent="0.25">
      <c r="A103">
        <v>102</v>
      </c>
      <c r="B103">
        <v>2016</v>
      </c>
      <c r="C103" t="s">
        <v>5</v>
      </c>
      <c r="D103">
        <v>71</v>
      </c>
      <c r="E103">
        <v>2</v>
      </c>
    </row>
    <row r="104" spans="1:5" x14ac:dyDescent="0.25">
      <c r="A104">
        <v>103</v>
      </c>
      <c r="B104">
        <v>2016</v>
      </c>
      <c r="C104" t="s">
        <v>9</v>
      </c>
      <c r="D104">
        <v>62</v>
      </c>
      <c r="E104">
        <v>3</v>
      </c>
    </row>
    <row r="105" spans="1:5" x14ac:dyDescent="0.25">
      <c r="A105">
        <v>104</v>
      </c>
      <c r="B105">
        <v>2016</v>
      </c>
      <c r="C105" t="s">
        <v>16</v>
      </c>
      <c r="D105">
        <v>61</v>
      </c>
      <c r="E105">
        <v>4</v>
      </c>
    </row>
    <row r="106" spans="1:5" x14ac:dyDescent="0.25">
      <c r="A106">
        <v>105</v>
      </c>
      <c r="B106">
        <v>2016</v>
      </c>
      <c r="C106" t="s">
        <v>24</v>
      </c>
      <c r="D106">
        <v>55</v>
      </c>
      <c r="E106">
        <v>5</v>
      </c>
    </row>
    <row r="107" spans="1:5" x14ac:dyDescent="0.25">
      <c r="A107">
        <v>106</v>
      </c>
      <c r="B107">
        <v>2016</v>
      </c>
      <c r="C107" t="s">
        <v>6</v>
      </c>
      <c r="D107">
        <v>54</v>
      </c>
      <c r="E107">
        <v>6</v>
      </c>
    </row>
    <row r="108" spans="1:5" x14ac:dyDescent="0.25">
      <c r="A108">
        <v>107</v>
      </c>
      <c r="B108">
        <v>2016</v>
      </c>
      <c r="C108" t="s">
        <v>32</v>
      </c>
      <c r="D108">
        <v>48</v>
      </c>
      <c r="E108">
        <v>7</v>
      </c>
    </row>
    <row r="109" spans="1:5" x14ac:dyDescent="0.25">
      <c r="A109">
        <v>108</v>
      </c>
      <c r="B109">
        <v>2016</v>
      </c>
      <c r="C109" t="s">
        <v>33</v>
      </c>
      <c r="D109">
        <v>47</v>
      </c>
      <c r="E109">
        <v>8</v>
      </c>
    </row>
    <row r="110" spans="1:5" x14ac:dyDescent="0.25">
      <c r="A110">
        <v>109</v>
      </c>
      <c r="B110">
        <v>2016</v>
      </c>
      <c r="C110" t="s">
        <v>11</v>
      </c>
      <c r="D110">
        <v>40</v>
      </c>
      <c r="E110">
        <v>9</v>
      </c>
    </row>
    <row r="111" spans="1:5" x14ac:dyDescent="0.25">
      <c r="A111">
        <v>110</v>
      </c>
      <c r="B111">
        <v>2016</v>
      </c>
      <c r="C111" t="s">
        <v>18</v>
      </c>
      <c r="D111">
        <v>38</v>
      </c>
      <c r="E111">
        <v>10</v>
      </c>
    </row>
    <row r="112" spans="1:5" x14ac:dyDescent="0.25">
      <c r="A112">
        <v>111</v>
      </c>
      <c r="B112">
        <v>2017</v>
      </c>
      <c r="C112" t="s">
        <v>4</v>
      </c>
      <c r="D112">
        <v>96</v>
      </c>
      <c r="E112">
        <v>1</v>
      </c>
    </row>
    <row r="113" spans="1:5" x14ac:dyDescent="0.25">
      <c r="A113">
        <v>112</v>
      </c>
      <c r="B113">
        <v>2017</v>
      </c>
      <c r="C113" t="s">
        <v>5</v>
      </c>
      <c r="D113">
        <v>63</v>
      </c>
      <c r="E113">
        <v>2</v>
      </c>
    </row>
    <row r="114" spans="1:5" x14ac:dyDescent="0.25">
      <c r="A114">
        <v>113</v>
      </c>
      <c r="B114">
        <v>2017</v>
      </c>
      <c r="C114" t="s">
        <v>16</v>
      </c>
      <c r="D114">
        <v>56</v>
      </c>
      <c r="E114">
        <v>3</v>
      </c>
    </row>
    <row r="115" spans="1:5" x14ac:dyDescent="0.25">
      <c r="A115">
        <v>114</v>
      </c>
      <c r="B115">
        <v>2017</v>
      </c>
      <c r="C115" t="s">
        <v>9</v>
      </c>
      <c r="D115">
        <v>56</v>
      </c>
      <c r="E115">
        <v>4</v>
      </c>
    </row>
    <row r="116" spans="1:5" x14ac:dyDescent="0.25">
      <c r="A116">
        <v>115</v>
      </c>
      <c r="B116">
        <v>2017</v>
      </c>
      <c r="C116" t="s">
        <v>6</v>
      </c>
      <c r="D116">
        <v>54</v>
      </c>
      <c r="E116">
        <v>5</v>
      </c>
    </row>
    <row r="117" spans="1:5" x14ac:dyDescent="0.25">
      <c r="A117">
        <v>116</v>
      </c>
      <c r="B117">
        <v>2017</v>
      </c>
      <c r="C117" t="s">
        <v>18</v>
      </c>
      <c r="D117">
        <v>48</v>
      </c>
      <c r="E117">
        <v>6</v>
      </c>
    </row>
    <row r="118" spans="1:5" x14ac:dyDescent="0.25">
      <c r="A118">
        <v>117</v>
      </c>
      <c r="B118">
        <v>2017</v>
      </c>
      <c r="C118" t="s">
        <v>32</v>
      </c>
      <c r="D118">
        <v>48</v>
      </c>
      <c r="E118">
        <v>7</v>
      </c>
    </row>
    <row r="119" spans="1:5" x14ac:dyDescent="0.25">
      <c r="A119">
        <v>118</v>
      </c>
      <c r="B119">
        <v>2017</v>
      </c>
      <c r="C119" t="s">
        <v>24</v>
      </c>
      <c r="D119">
        <v>46</v>
      </c>
      <c r="E119">
        <v>8</v>
      </c>
    </row>
    <row r="120" spans="1:5" x14ac:dyDescent="0.25">
      <c r="A120">
        <v>119</v>
      </c>
      <c r="B120">
        <v>2017</v>
      </c>
      <c r="C120" t="s">
        <v>33</v>
      </c>
      <c r="D120">
        <v>40</v>
      </c>
      <c r="E120">
        <v>9</v>
      </c>
    </row>
    <row r="121" spans="1:5" x14ac:dyDescent="0.25">
      <c r="A121">
        <v>120</v>
      </c>
      <c r="B121">
        <v>2017</v>
      </c>
      <c r="C121" t="s">
        <v>38</v>
      </c>
      <c r="D121">
        <v>37</v>
      </c>
      <c r="E121">
        <v>10</v>
      </c>
    </row>
    <row r="122" spans="1:5" x14ac:dyDescent="0.25">
      <c r="A122">
        <v>121</v>
      </c>
      <c r="B122">
        <v>2018</v>
      </c>
      <c r="C122" t="s">
        <v>4</v>
      </c>
      <c r="D122">
        <v>75</v>
      </c>
      <c r="E122">
        <v>1</v>
      </c>
    </row>
    <row r="123" spans="1:5" x14ac:dyDescent="0.25">
      <c r="A123">
        <v>122</v>
      </c>
      <c r="B123">
        <v>2018</v>
      </c>
      <c r="C123" t="s">
        <v>16</v>
      </c>
      <c r="D123">
        <v>48</v>
      </c>
      <c r="E123">
        <v>2</v>
      </c>
    </row>
    <row r="124" spans="1:5" x14ac:dyDescent="0.25">
      <c r="A124">
        <v>123</v>
      </c>
      <c r="B124">
        <v>2018</v>
      </c>
      <c r="C124" t="s">
        <v>5</v>
      </c>
      <c r="D124">
        <v>46</v>
      </c>
      <c r="E124">
        <v>3</v>
      </c>
    </row>
    <row r="125" spans="1:5" x14ac:dyDescent="0.25">
      <c r="A125">
        <v>124</v>
      </c>
      <c r="B125">
        <v>2018</v>
      </c>
      <c r="C125" t="s">
        <v>9</v>
      </c>
      <c r="D125">
        <v>46</v>
      </c>
      <c r="E125">
        <v>4</v>
      </c>
    </row>
    <row r="126" spans="1:5" x14ac:dyDescent="0.25">
      <c r="A126">
        <v>125</v>
      </c>
      <c r="B126">
        <v>2018</v>
      </c>
      <c r="C126" t="s">
        <v>6</v>
      </c>
      <c r="D126">
        <v>41</v>
      </c>
      <c r="E126">
        <v>5</v>
      </c>
    </row>
    <row r="127" spans="1:5" x14ac:dyDescent="0.25">
      <c r="A127">
        <v>126</v>
      </c>
      <c r="B127">
        <v>2018</v>
      </c>
      <c r="C127" t="s">
        <v>18</v>
      </c>
      <c r="D127">
        <v>40</v>
      </c>
      <c r="E127">
        <v>6</v>
      </c>
    </row>
    <row r="128" spans="1:5" x14ac:dyDescent="0.25">
      <c r="A128">
        <v>127</v>
      </c>
      <c r="B128">
        <v>2018</v>
      </c>
      <c r="C128" t="s">
        <v>33</v>
      </c>
      <c r="D128">
        <v>37</v>
      </c>
      <c r="E128">
        <v>7</v>
      </c>
    </row>
    <row r="129" spans="1:5" x14ac:dyDescent="0.25">
      <c r="A129">
        <v>128</v>
      </c>
      <c r="B129">
        <v>2018</v>
      </c>
      <c r="C129" t="s">
        <v>32</v>
      </c>
      <c r="D129">
        <v>34</v>
      </c>
      <c r="E129">
        <v>8</v>
      </c>
    </row>
    <row r="130" spans="1:5" x14ac:dyDescent="0.25">
      <c r="A130">
        <v>129</v>
      </c>
      <c r="B130">
        <v>2018</v>
      </c>
      <c r="C130" t="s">
        <v>24</v>
      </c>
      <c r="D130">
        <v>30</v>
      </c>
      <c r="E130">
        <v>9</v>
      </c>
    </row>
    <row r="131" spans="1:5" x14ac:dyDescent="0.25">
      <c r="A131">
        <v>130</v>
      </c>
      <c r="B131">
        <v>2018</v>
      </c>
      <c r="C131" t="s">
        <v>36</v>
      </c>
      <c r="D131">
        <v>29</v>
      </c>
      <c r="E131">
        <v>10</v>
      </c>
    </row>
    <row r="132" spans="1:5" x14ac:dyDescent="0.25">
      <c r="A132">
        <v>131</v>
      </c>
      <c r="B132">
        <v>2019</v>
      </c>
      <c r="C132" t="s">
        <v>4</v>
      </c>
      <c r="D132">
        <v>84</v>
      </c>
      <c r="E132">
        <v>1</v>
      </c>
    </row>
    <row r="133" spans="1:5" x14ac:dyDescent="0.25">
      <c r="A133">
        <v>132</v>
      </c>
      <c r="B133">
        <v>2019</v>
      </c>
      <c r="C133" t="s">
        <v>5</v>
      </c>
      <c r="D133">
        <v>59</v>
      </c>
      <c r="E133">
        <v>2</v>
      </c>
    </row>
    <row r="134" spans="1:5" x14ac:dyDescent="0.25">
      <c r="A134">
        <v>133</v>
      </c>
      <c r="B134">
        <v>2019</v>
      </c>
      <c r="C134" t="s">
        <v>16</v>
      </c>
      <c r="D134">
        <v>56</v>
      </c>
      <c r="E134">
        <v>3</v>
      </c>
    </row>
    <row r="135" spans="1:5" x14ac:dyDescent="0.25">
      <c r="A135">
        <v>134</v>
      </c>
      <c r="B135">
        <v>2019</v>
      </c>
      <c r="C135" t="s">
        <v>9</v>
      </c>
      <c r="D135">
        <v>48</v>
      </c>
      <c r="E135">
        <v>4</v>
      </c>
    </row>
    <row r="136" spans="1:5" x14ac:dyDescent="0.25">
      <c r="A136">
        <v>135</v>
      </c>
      <c r="B136">
        <v>2019</v>
      </c>
      <c r="C136" t="s">
        <v>32</v>
      </c>
      <c r="D136">
        <v>44</v>
      </c>
      <c r="E136">
        <v>5</v>
      </c>
    </row>
    <row r="137" spans="1:5" x14ac:dyDescent="0.25">
      <c r="A137">
        <v>136</v>
      </c>
      <c r="B137">
        <v>2019</v>
      </c>
      <c r="C137" t="s">
        <v>36</v>
      </c>
      <c r="D137">
        <v>41</v>
      </c>
      <c r="E137">
        <v>6</v>
      </c>
    </row>
    <row r="138" spans="1:5" x14ac:dyDescent="0.25">
      <c r="A138">
        <v>137</v>
      </c>
      <c r="B138">
        <v>2019</v>
      </c>
      <c r="C138" t="s">
        <v>6</v>
      </c>
      <c r="D138">
        <v>39</v>
      </c>
      <c r="E138">
        <v>7</v>
      </c>
    </row>
    <row r="139" spans="1:5" x14ac:dyDescent="0.25">
      <c r="A139">
        <v>138</v>
      </c>
      <c r="B139">
        <v>2019</v>
      </c>
      <c r="C139" t="s">
        <v>39</v>
      </c>
      <c r="D139">
        <v>32</v>
      </c>
      <c r="E139">
        <v>8</v>
      </c>
    </row>
    <row r="140" spans="1:5" x14ac:dyDescent="0.25">
      <c r="A140">
        <v>139</v>
      </c>
      <c r="B140">
        <v>2019</v>
      </c>
      <c r="C140" t="s">
        <v>24</v>
      </c>
      <c r="D140">
        <v>31</v>
      </c>
      <c r="E140">
        <v>9</v>
      </c>
    </row>
    <row r="141" spans="1:5" x14ac:dyDescent="0.25">
      <c r="A141">
        <v>140</v>
      </c>
      <c r="B141">
        <v>2019</v>
      </c>
      <c r="C141" t="s">
        <v>33</v>
      </c>
      <c r="D141">
        <v>30</v>
      </c>
      <c r="E141">
        <v>10</v>
      </c>
    </row>
    <row r="142" spans="1:5" x14ac:dyDescent="0.25">
      <c r="A142">
        <v>141</v>
      </c>
      <c r="B142">
        <v>2020</v>
      </c>
      <c r="C142" t="s">
        <v>4</v>
      </c>
      <c r="D142">
        <v>67</v>
      </c>
      <c r="E142">
        <v>1</v>
      </c>
    </row>
    <row r="143" spans="1:5" x14ac:dyDescent="0.25">
      <c r="A143">
        <v>142</v>
      </c>
      <c r="B143">
        <v>2020</v>
      </c>
      <c r="C143" t="s">
        <v>5</v>
      </c>
      <c r="D143">
        <v>54</v>
      </c>
      <c r="E143">
        <v>2</v>
      </c>
    </row>
    <row r="144" spans="1:5" x14ac:dyDescent="0.25">
      <c r="A144">
        <v>143</v>
      </c>
      <c r="B144">
        <v>2020</v>
      </c>
      <c r="C144" t="s">
        <v>6</v>
      </c>
      <c r="D144">
        <v>48</v>
      </c>
      <c r="E144">
        <v>3</v>
      </c>
    </row>
    <row r="145" spans="1:5" x14ac:dyDescent="0.25">
      <c r="A145">
        <v>144</v>
      </c>
      <c r="B145">
        <v>2020</v>
      </c>
      <c r="C145" t="s">
        <v>16</v>
      </c>
      <c r="D145">
        <v>42</v>
      </c>
      <c r="E145">
        <v>4</v>
      </c>
    </row>
    <row r="146" spans="1:5" x14ac:dyDescent="0.25">
      <c r="A146">
        <v>145</v>
      </c>
      <c r="B146">
        <v>2020</v>
      </c>
      <c r="C146" t="s">
        <v>32</v>
      </c>
      <c r="D146">
        <v>40</v>
      </c>
      <c r="E146">
        <v>5</v>
      </c>
    </row>
    <row r="147" spans="1:5" x14ac:dyDescent="0.25">
      <c r="A147">
        <v>146</v>
      </c>
      <c r="B147">
        <v>2020</v>
      </c>
      <c r="C147" t="s">
        <v>37</v>
      </c>
      <c r="D147">
        <v>38</v>
      </c>
      <c r="E147">
        <v>6</v>
      </c>
    </row>
    <row r="148" spans="1:5" x14ac:dyDescent="0.25">
      <c r="A148">
        <v>147</v>
      </c>
      <c r="B148">
        <v>2020</v>
      </c>
      <c r="C148" t="s">
        <v>36</v>
      </c>
      <c r="D148">
        <v>38</v>
      </c>
      <c r="E148">
        <v>7</v>
      </c>
    </row>
    <row r="149" spans="1:5" x14ac:dyDescent="0.25">
      <c r="A149">
        <v>148</v>
      </c>
      <c r="B149">
        <v>2020</v>
      </c>
      <c r="C149" t="s">
        <v>11</v>
      </c>
      <c r="D149">
        <v>36</v>
      </c>
      <c r="E149">
        <v>8</v>
      </c>
    </row>
    <row r="150" spans="1:5" x14ac:dyDescent="0.25">
      <c r="A150">
        <v>149</v>
      </c>
      <c r="B150">
        <v>2020</v>
      </c>
      <c r="C150" t="s">
        <v>18</v>
      </c>
      <c r="D150">
        <v>35</v>
      </c>
      <c r="E150">
        <v>9</v>
      </c>
    </row>
    <row r="151" spans="1:5" x14ac:dyDescent="0.25">
      <c r="A151">
        <v>150</v>
      </c>
      <c r="B151">
        <v>2020</v>
      </c>
      <c r="C151" t="s">
        <v>19</v>
      </c>
      <c r="D151">
        <v>35</v>
      </c>
      <c r="E151">
        <v>10</v>
      </c>
    </row>
    <row r="152" spans="1:5" x14ac:dyDescent="0.25">
      <c r="A152">
        <v>151</v>
      </c>
      <c r="B152">
        <v>2021</v>
      </c>
      <c r="C152" t="s">
        <v>4</v>
      </c>
      <c r="D152">
        <v>73</v>
      </c>
      <c r="E152">
        <v>1</v>
      </c>
    </row>
    <row r="153" spans="1:5" x14ac:dyDescent="0.25">
      <c r="A153">
        <v>152</v>
      </c>
      <c r="B153">
        <v>2021</v>
      </c>
      <c r="C153" t="s">
        <v>32</v>
      </c>
      <c r="D153">
        <v>53</v>
      </c>
      <c r="E153">
        <v>2</v>
      </c>
    </row>
    <row r="154" spans="1:5" x14ac:dyDescent="0.25">
      <c r="A154">
        <v>153</v>
      </c>
      <c r="B154">
        <v>2021</v>
      </c>
      <c r="C154" t="s">
        <v>11</v>
      </c>
      <c r="D154">
        <v>45</v>
      </c>
      <c r="E154">
        <v>3</v>
      </c>
    </row>
    <row r="155" spans="1:5" x14ac:dyDescent="0.25">
      <c r="A155">
        <v>154</v>
      </c>
      <c r="B155">
        <v>2021</v>
      </c>
      <c r="C155" t="s">
        <v>37</v>
      </c>
      <c r="D155">
        <v>42</v>
      </c>
      <c r="E155">
        <v>4</v>
      </c>
    </row>
    <row r="156" spans="1:5" x14ac:dyDescent="0.25">
      <c r="A156">
        <v>155</v>
      </c>
      <c r="B156">
        <v>2021</v>
      </c>
      <c r="C156" t="s">
        <v>6</v>
      </c>
      <c r="D156">
        <v>33</v>
      </c>
      <c r="E156">
        <v>5</v>
      </c>
    </row>
    <row r="157" spans="1:5" x14ac:dyDescent="0.25">
      <c r="A157">
        <v>156</v>
      </c>
      <c r="B157">
        <v>2021</v>
      </c>
      <c r="C157" t="s">
        <v>40</v>
      </c>
      <c r="D157">
        <v>33</v>
      </c>
      <c r="E157">
        <v>6</v>
      </c>
    </row>
    <row r="158" spans="1:5" x14ac:dyDescent="0.25">
      <c r="A158">
        <v>157</v>
      </c>
      <c r="B158">
        <v>2021</v>
      </c>
      <c r="C158" t="s">
        <v>18</v>
      </c>
      <c r="D158">
        <v>32</v>
      </c>
      <c r="E158">
        <v>7</v>
      </c>
    </row>
    <row r="159" spans="1:5" x14ac:dyDescent="0.25">
      <c r="A159">
        <v>158</v>
      </c>
      <c r="B159">
        <v>2021</v>
      </c>
      <c r="C159" t="s">
        <v>36</v>
      </c>
      <c r="D159">
        <v>32</v>
      </c>
      <c r="E159">
        <v>8</v>
      </c>
    </row>
    <row r="160" spans="1:5" x14ac:dyDescent="0.25">
      <c r="A160">
        <v>159</v>
      </c>
      <c r="B160">
        <v>2021</v>
      </c>
      <c r="C160" t="s">
        <v>41</v>
      </c>
      <c r="D160">
        <v>31</v>
      </c>
      <c r="E160">
        <v>9</v>
      </c>
    </row>
    <row r="161" spans="1:5" x14ac:dyDescent="0.25">
      <c r="A161">
        <v>160</v>
      </c>
      <c r="B161">
        <v>2021</v>
      </c>
      <c r="C161" t="s">
        <v>5</v>
      </c>
      <c r="D161">
        <v>30</v>
      </c>
      <c r="E161">
        <v>10</v>
      </c>
    </row>
    <row r="162" spans="1:5" x14ac:dyDescent="0.25">
      <c r="A162">
        <v>161</v>
      </c>
      <c r="B162">
        <v>2022</v>
      </c>
      <c r="C162" t="s">
        <v>4</v>
      </c>
      <c r="D162">
        <v>58</v>
      </c>
      <c r="E162">
        <v>1</v>
      </c>
    </row>
    <row r="163" spans="1:5" x14ac:dyDescent="0.25">
      <c r="A163">
        <v>162</v>
      </c>
      <c r="B163">
        <v>2022</v>
      </c>
      <c r="C163" t="s">
        <v>11</v>
      </c>
      <c r="D163">
        <v>33</v>
      </c>
      <c r="E163">
        <v>2</v>
      </c>
    </row>
    <row r="164" spans="1:5" x14ac:dyDescent="0.25">
      <c r="A164">
        <v>163</v>
      </c>
      <c r="B164">
        <v>2022</v>
      </c>
      <c r="C164" t="s">
        <v>6</v>
      </c>
      <c r="D164">
        <v>32</v>
      </c>
      <c r="E164">
        <v>3</v>
      </c>
    </row>
    <row r="165" spans="1:5" x14ac:dyDescent="0.25">
      <c r="A165">
        <v>164</v>
      </c>
      <c r="B165">
        <v>2022</v>
      </c>
      <c r="C165" t="s">
        <v>41</v>
      </c>
      <c r="D165">
        <v>32</v>
      </c>
      <c r="E165">
        <v>4</v>
      </c>
    </row>
    <row r="166" spans="1:5" x14ac:dyDescent="0.25">
      <c r="A166">
        <v>165</v>
      </c>
      <c r="B166">
        <v>2022</v>
      </c>
      <c r="C166" t="s">
        <v>32</v>
      </c>
      <c r="D166">
        <v>29</v>
      </c>
      <c r="E166">
        <v>5</v>
      </c>
    </row>
    <row r="167" spans="1:5" x14ac:dyDescent="0.25">
      <c r="A167">
        <v>166</v>
      </c>
      <c r="B167">
        <v>2022</v>
      </c>
      <c r="C167" t="s">
        <v>36</v>
      </c>
      <c r="D167">
        <v>28</v>
      </c>
      <c r="E167">
        <v>6</v>
      </c>
    </row>
    <row r="168" spans="1:5" x14ac:dyDescent="0.25">
      <c r="A168">
        <v>167</v>
      </c>
      <c r="B168">
        <v>2022</v>
      </c>
      <c r="C168" t="s">
        <v>5</v>
      </c>
      <c r="D168">
        <v>27</v>
      </c>
      <c r="E168">
        <v>7</v>
      </c>
    </row>
    <row r="169" spans="1:5" x14ac:dyDescent="0.25">
      <c r="A169">
        <v>168</v>
      </c>
      <c r="B169">
        <v>2022</v>
      </c>
      <c r="C169" t="s">
        <v>9</v>
      </c>
      <c r="D169">
        <v>27</v>
      </c>
      <c r="E169">
        <v>8</v>
      </c>
    </row>
    <row r="170" spans="1:5" x14ac:dyDescent="0.25">
      <c r="A170">
        <v>169</v>
      </c>
      <c r="B170">
        <v>2022</v>
      </c>
      <c r="C170" t="s">
        <v>42</v>
      </c>
      <c r="D170">
        <v>20</v>
      </c>
      <c r="E170">
        <v>9</v>
      </c>
    </row>
    <row r="171" spans="1:5" x14ac:dyDescent="0.25">
      <c r="A171">
        <v>170</v>
      </c>
      <c r="B171">
        <v>2022</v>
      </c>
      <c r="C171" t="s">
        <v>39</v>
      </c>
      <c r="D171">
        <v>20</v>
      </c>
      <c r="E171">
        <v>10</v>
      </c>
    </row>
    <row r="172" spans="1:5" x14ac:dyDescent="0.25">
      <c r="A172">
        <v>171</v>
      </c>
      <c r="B172">
        <v>2023</v>
      </c>
      <c r="C172" t="s">
        <v>4</v>
      </c>
      <c r="D172">
        <v>44</v>
      </c>
      <c r="E172">
        <v>1</v>
      </c>
    </row>
    <row r="173" spans="1:5" x14ac:dyDescent="0.25">
      <c r="A173">
        <v>172</v>
      </c>
      <c r="B173">
        <v>2023</v>
      </c>
      <c r="C173" t="s">
        <v>11</v>
      </c>
      <c r="D173">
        <v>35</v>
      </c>
      <c r="E173">
        <v>2</v>
      </c>
    </row>
    <row r="174" spans="1:5" x14ac:dyDescent="0.25">
      <c r="A174">
        <v>173</v>
      </c>
      <c r="B174">
        <v>2023</v>
      </c>
      <c r="C174" t="s">
        <v>41</v>
      </c>
      <c r="D174">
        <v>31</v>
      </c>
      <c r="E174">
        <v>3</v>
      </c>
    </row>
    <row r="175" spans="1:5" x14ac:dyDescent="0.25">
      <c r="A175">
        <v>174</v>
      </c>
      <c r="B175">
        <v>2023</v>
      </c>
      <c r="C175" t="s">
        <v>6</v>
      </c>
      <c r="D175">
        <v>23</v>
      </c>
      <c r="E175">
        <v>4</v>
      </c>
    </row>
    <row r="176" spans="1:5" x14ac:dyDescent="0.25">
      <c r="A176">
        <v>175</v>
      </c>
      <c r="B176">
        <v>2023</v>
      </c>
      <c r="C176" t="s">
        <v>32</v>
      </c>
      <c r="D176">
        <v>20</v>
      </c>
      <c r="E176">
        <v>5</v>
      </c>
    </row>
    <row r="177" spans="1:5" x14ac:dyDescent="0.25">
      <c r="A177">
        <v>176</v>
      </c>
      <c r="B177">
        <v>2023</v>
      </c>
      <c r="C177" t="s">
        <v>9</v>
      </c>
      <c r="D177">
        <v>15</v>
      </c>
      <c r="E177">
        <v>6</v>
      </c>
    </row>
    <row r="178" spans="1:5" x14ac:dyDescent="0.25">
      <c r="A178">
        <v>177</v>
      </c>
      <c r="B178">
        <v>2023</v>
      </c>
      <c r="C178" t="s">
        <v>43</v>
      </c>
      <c r="D178">
        <v>14</v>
      </c>
      <c r="E178">
        <v>7</v>
      </c>
    </row>
    <row r="179" spans="1:5" x14ac:dyDescent="0.25">
      <c r="A179">
        <v>178</v>
      </c>
      <c r="B179">
        <v>2023</v>
      </c>
      <c r="C179" t="s">
        <v>36</v>
      </c>
      <c r="D179">
        <v>14</v>
      </c>
      <c r="E179">
        <v>8</v>
      </c>
    </row>
    <row r="180" spans="1:5" x14ac:dyDescent="0.25">
      <c r="A180">
        <v>179</v>
      </c>
      <c r="B180">
        <v>2023</v>
      </c>
      <c r="C180" t="s">
        <v>44</v>
      </c>
      <c r="D180">
        <v>12</v>
      </c>
      <c r="E180">
        <v>9</v>
      </c>
    </row>
    <row r="181" spans="1:5" x14ac:dyDescent="0.25">
      <c r="A181">
        <v>180</v>
      </c>
      <c r="B181">
        <v>2023</v>
      </c>
      <c r="C181" t="s">
        <v>45</v>
      </c>
      <c r="D181">
        <v>12</v>
      </c>
      <c r="E181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workbookViewId="0">
      <selection activeCell="I20" sqref="I20"/>
    </sheetView>
  </sheetViews>
  <sheetFormatPr defaultRowHeight="15" x14ac:dyDescent="0.25"/>
  <cols>
    <col min="6" max="6" width="11.2851562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46</v>
      </c>
    </row>
    <row r="2" spans="1:7" x14ac:dyDescent="0.25">
      <c r="A2">
        <v>1</v>
      </c>
      <c r="B2">
        <v>2006</v>
      </c>
      <c r="C2" t="s">
        <v>4</v>
      </c>
      <c r="D2">
        <v>40</v>
      </c>
      <c r="E2">
        <v>1</v>
      </c>
      <c r="F2" s="1">
        <f>(D2/SUM($D$2:$D$11))*100</f>
        <v>20.100502512562816</v>
      </c>
    </row>
    <row r="3" spans="1:7" x14ac:dyDescent="0.25">
      <c r="A3">
        <v>2</v>
      </c>
      <c r="B3">
        <v>2006</v>
      </c>
      <c r="C3" t="s">
        <v>5</v>
      </c>
      <c r="D3">
        <v>32</v>
      </c>
      <c r="E3">
        <v>2</v>
      </c>
      <c r="F3" s="1">
        <f t="shared" ref="F3:F11" si="0">(D3/SUM($D$2:$D$11))*100</f>
        <v>16.08040201005025</v>
      </c>
    </row>
    <row r="4" spans="1:7" x14ac:dyDescent="0.25">
      <c r="A4">
        <v>3</v>
      </c>
      <c r="B4">
        <v>2006</v>
      </c>
      <c r="C4" t="s">
        <v>7</v>
      </c>
      <c r="D4">
        <v>19</v>
      </c>
      <c r="E4">
        <v>3</v>
      </c>
      <c r="F4" s="1">
        <f t="shared" si="0"/>
        <v>9.5477386934673358</v>
      </c>
    </row>
    <row r="5" spans="1:7" x14ac:dyDescent="0.25">
      <c r="A5">
        <v>4</v>
      </c>
      <c r="B5">
        <v>2006</v>
      </c>
      <c r="C5" t="s">
        <v>6</v>
      </c>
      <c r="D5">
        <v>18</v>
      </c>
      <c r="E5">
        <v>4</v>
      </c>
      <c r="F5" s="1">
        <f t="shared" si="0"/>
        <v>9.0452261306532673</v>
      </c>
    </row>
    <row r="6" spans="1:7" x14ac:dyDescent="0.25">
      <c r="A6">
        <v>5</v>
      </c>
      <c r="B6">
        <v>2006</v>
      </c>
      <c r="C6" t="s">
        <v>10</v>
      </c>
      <c r="D6">
        <v>16</v>
      </c>
      <c r="E6">
        <v>5</v>
      </c>
      <c r="F6" s="1">
        <f t="shared" si="0"/>
        <v>8.0402010050251249</v>
      </c>
    </row>
    <row r="7" spans="1:7" x14ac:dyDescent="0.25">
      <c r="A7">
        <v>6</v>
      </c>
      <c r="B7">
        <v>2006</v>
      </c>
      <c r="C7" t="s">
        <v>8</v>
      </c>
      <c r="D7">
        <v>16</v>
      </c>
      <c r="E7">
        <v>6</v>
      </c>
      <c r="F7" s="1">
        <f t="shared" si="0"/>
        <v>8.0402010050251249</v>
      </c>
    </row>
    <row r="8" spans="1:7" x14ac:dyDescent="0.25">
      <c r="A8">
        <v>7</v>
      </c>
      <c r="B8">
        <v>2006</v>
      </c>
      <c r="C8" t="s">
        <v>9</v>
      </c>
      <c r="D8">
        <v>16</v>
      </c>
      <c r="E8">
        <v>7</v>
      </c>
      <c r="F8" s="1">
        <f t="shared" si="0"/>
        <v>8.0402010050251249</v>
      </c>
    </row>
    <row r="9" spans="1:7" x14ac:dyDescent="0.25">
      <c r="A9">
        <v>8</v>
      </c>
      <c r="B9">
        <v>2006</v>
      </c>
      <c r="C9" t="s">
        <v>11</v>
      </c>
      <c r="D9">
        <v>15</v>
      </c>
      <c r="E9">
        <v>8</v>
      </c>
      <c r="F9" s="1">
        <f t="shared" si="0"/>
        <v>7.5376884422110546</v>
      </c>
    </row>
    <row r="10" spans="1:7" x14ac:dyDescent="0.25">
      <c r="A10">
        <v>9</v>
      </c>
      <c r="B10">
        <v>2006</v>
      </c>
      <c r="C10" t="s">
        <v>12</v>
      </c>
      <c r="D10">
        <v>14</v>
      </c>
      <c r="E10">
        <v>9</v>
      </c>
      <c r="F10" s="1">
        <f t="shared" si="0"/>
        <v>7.0351758793969852</v>
      </c>
    </row>
    <row r="11" spans="1:7" x14ac:dyDescent="0.25">
      <c r="A11">
        <v>10</v>
      </c>
      <c r="B11">
        <v>2006</v>
      </c>
      <c r="C11" t="s">
        <v>16</v>
      </c>
      <c r="D11">
        <v>13</v>
      </c>
      <c r="E11">
        <v>10</v>
      </c>
      <c r="F11" s="1">
        <f t="shared" si="0"/>
        <v>6.5326633165829149</v>
      </c>
      <c r="G11" s="1"/>
    </row>
    <row r="12" spans="1:7" x14ac:dyDescent="0.25">
      <c r="A12">
        <v>11</v>
      </c>
      <c r="B12">
        <v>2007</v>
      </c>
      <c r="C12" t="s">
        <v>5</v>
      </c>
      <c r="D12">
        <v>36</v>
      </c>
      <c r="E12">
        <v>1</v>
      </c>
      <c r="F12" s="1">
        <f>(D12/SUM($D$12:$D$21))*100</f>
        <v>16.513761467889911</v>
      </c>
    </row>
    <row r="13" spans="1:7" x14ac:dyDescent="0.25">
      <c r="A13">
        <v>12</v>
      </c>
      <c r="B13">
        <v>2007</v>
      </c>
      <c r="C13" t="s">
        <v>4</v>
      </c>
      <c r="D13">
        <v>34</v>
      </c>
      <c r="E13">
        <v>2</v>
      </c>
      <c r="F13" s="1">
        <f t="shared" ref="F13:F21" si="1">(D13/SUM($D$12:$D$21))*100</f>
        <v>15.596330275229359</v>
      </c>
    </row>
    <row r="14" spans="1:7" x14ac:dyDescent="0.25">
      <c r="A14">
        <v>13</v>
      </c>
      <c r="B14">
        <v>2007</v>
      </c>
      <c r="C14" t="s">
        <v>7</v>
      </c>
      <c r="D14">
        <v>23</v>
      </c>
      <c r="E14">
        <v>3</v>
      </c>
      <c r="F14" s="1">
        <f t="shared" si="1"/>
        <v>10.550458715596331</v>
      </c>
    </row>
    <row r="15" spans="1:7" x14ac:dyDescent="0.25">
      <c r="A15">
        <v>14</v>
      </c>
      <c r="B15">
        <v>2007</v>
      </c>
      <c r="C15" t="s">
        <v>6</v>
      </c>
      <c r="D15">
        <v>20</v>
      </c>
      <c r="E15">
        <v>4</v>
      </c>
      <c r="F15" s="1">
        <f t="shared" si="1"/>
        <v>9.1743119266055047</v>
      </c>
    </row>
    <row r="16" spans="1:7" x14ac:dyDescent="0.25">
      <c r="A16">
        <v>15</v>
      </c>
      <c r="B16">
        <v>2007</v>
      </c>
      <c r="C16" t="s">
        <v>10</v>
      </c>
      <c r="D16">
        <v>19</v>
      </c>
      <c r="E16">
        <v>5</v>
      </c>
      <c r="F16" s="1">
        <f t="shared" si="1"/>
        <v>8.7155963302752291</v>
      </c>
    </row>
    <row r="17" spans="1:6" x14ac:dyDescent="0.25">
      <c r="A17">
        <v>16</v>
      </c>
      <c r="B17">
        <v>2007</v>
      </c>
      <c r="C17" t="s">
        <v>13</v>
      </c>
      <c r="D17">
        <v>19</v>
      </c>
      <c r="E17">
        <v>6</v>
      </c>
      <c r="F17" s="1">
        <f t="shared" si="1"/>
        <v>8.7155963302752291</v>
      </c>
    </row>
    <row r="18" spans="1:6" x14ac:dyDescent="0.25">
      <c r="A18">
        <v>17</v>
      </c>
      <c r="B18">
        <v>2007</v>
      </c>
      <c r="C18" t="s">
        <v>11</v>
      </c>
      <c r="D18">
        <v>19</v>
      </c>
      <c r="E18">
        <v>7</v>
      </c>
      <c r="F18" s="1">
        <f t="shared" si="1"/>
        <v>8.7155963302752291</v>
      </c>
    </row>
    <row r="19" spans="1:6" x14ac:dyDescent="0.25">
      <c r="A19">
        <v>18</v>
      </c>
      <c r="B19">
        <v>2007</v>
      </c>
      <c r="C19" t="s">
        <v>8</v>
      </c>
      <c r="D19">
        <v>18</v>
      </c>
      <c r="E19">
        <v>8</v>
      </c>
      <c r="F19" s="1">
        <f t="shared" si="1"/>
        <v>8.2568807339449553</v>
      </c>
    </row>
    <row r="20" spans="1:6" x14ac:dyDescent="0.25">
      <c r="A20">
        <v>19</v>
      </c>
      <c r="B20">
        <v>2007</v>
      </c>
      <c r="C20" t="s">
        <v>16</v>
      </c>
      <c r="D20">
        <v>15</v>
      </c>
      <c r="E20">
        <v>9</v>
      </c>
      <c r="F20" s="1">
        <f t="shared" si="1"/>
        <v>6.8807339449541285</v>
      </c>
    </row>
    <row r="21" spans="1:6" x14ac:dyDescent="0.25">
      <c r="A21">
        <v>20</v>
      </c>
      <c r="B21">
        <v>2007</v>
      </c>
      <c r="C21" t="s">
        <v>14</v>
      </c>
      <c r="D21">
        <v>15</v>
      </c>
      <c r="E21">
        <v>10</v>
      </c>
      <c r="F21" s="1">
        <f t="shared" si="1"/>
        <v>6.8807339449541285</v>
      </c>
    </row>
    <row r="22" spans="1:6" x14ac:dyDescent="0.25">
      <c r="A22">
        <v>21</v>
      </c>
      <c r="B22">
        <v>2008</v>
      </c>
      <c r="C22" t="s">
        <v>5</v>
      </c>
      <c r="D22">
        <v>58</v>
      </c>
      <c r="E22">
        <v>1</v>
      </c>
      <c r="F22" s="1">
        <f>(D22/SUM($D$22:$D$31))*100</f>
        <v>18.589743589743591</v>
      </c>
    </row>
    <row r="23" spans="1:6" x14ac:dyDescent="0.25">
      <c r="A23">
        <v>22</v>
      </c>
      <c r="B23">
        <v>2008</v>
      </c>
      <c r="C23" t="s">
        <v>6</v>
      </c>
      <c r="D23">
        <v>43</v>
      </c>
      <c r="E23">
        <v>2</v>
      </c>
      <c r="F23" s="1">
        <f t="shared" ref="F23:F31" si="2">(D23/SUM($D$22:$D$31))*100</f>
        <v>13.782051282051283</v>
      </c>
    </row>
    <row r="24" spans="1:6" x14ac:dyDescent="0.25">
      <c r="A24">
        <v>23</v>
      </c>
      <c r="B24">
        <v>2008</v>
      </c>
      <c r="C24" t="s">
        <v>7</v>
      </c>
      <c r="D24">
        <v>31</v>
      </c>
      <c r="E24">
        <v>3</v>
      </c>
      <c r="F24" s="1">
        <f t="shared" si="2"/>
        <v>9.9358974358974361</v>
      </c>
    </row>
    <row r="25" spans="1:6" x14ac:dyDescent="0.25">
      <c r="A25">
        <v>24</v>
      </c>
      <c r="B25">
        <v>2008</v>
      </c>
      <c r="C25" t="s">
        <v>14</v>
      </c>
      <c r="D25">
        <v>31</v>
      </c>
      <c r="E25">
        <v>4</v>
      </c>
      <c r="F25" s="1">
        <f t="shared" si="2"/>
        <v>9.9358974358974361</v>
      </c>
    </row>
    <row r="26" spans="1:6" x14ac:dyDescent="0.25">
      <c r="A26">
        <v>25</v>
      </c>
      <c r="B26">
        <v>2008</v>
      </c>
      <c r="C26" t="s">
        <v>10</v>
      </c>
      <c r="D26">
        <v>30</v>
      </c>
      <c r="E26">
        <v>5</v>
      </c>
      <c r="F26" s="1">
        <f t="shared" si="2"/>
        <v>9.6153846153846168</v>
      </c>
    </row>
    <row r="27" spans="1:6" x14ac:dyDescent="0.25">
      <c r="A27">
        <v>26</v>
      </c>
      <c r="B27">
        <v>2008</v>
      </c>
      <c r="C27" t="s">
        <v>4</v>
      </c>
      <c r="D27">
        <v>30</v>
      </c>
      <c r="E27">
        <v>6</v>
      </c>
      <c r="F27" s="1">
        <f t="shared" si="2"/>
        <v>9.6153846153846168</v>
      </c>
    </row>
    <row r="28" spans="1:6" x14ac:dyDescent="0.25">
      <c r="A28">
        <v>27</v>
      </c>
      <c r="B28">
        <v>2008</v>
      </c>
      <c r="C28" t="s">
        <v>9</v>
      </c>
      <c r="D28">
        <v>24</v>
      </c>
      <c r="E28">
        <v>7</v>
      </c>
      <c r="F28" s="1">
        <f t="shared" si="2"/>
        <v>7.6923076923076925</v>
      </c>
    </row>
    <row r="29" spans="1:6" x14ac:dyDescent="0.25">
      <c r="A29">
        <v>28</v>
      </c>
      <c r="B29">
        <v>2008</v>
      </c>
      <c r="C29" t="s">
        <v>15</v>
      </c>
      <c r="D29">
        <v>23</v>
      </c>
      <c r="E29">
        <v>8</v>
      </c>
      <c r="F29" s="1">
        <f t="shared" si="2"/>
        <v>7.3717948717948723</v>
      </c>
    </row>
    <row r="30" spans="1:6" x14ac:dyDescent="0.25">
      <c r="A30">
        <v>29</v>
      </c>
      <c r="B30">
        <v>2008</v>
      </c>
      <c r="C30" t="s">
        <v>16</v>
      </c>
      <c r="D30">
        <v>21</v>
      </c>
      <c r="E30">
        <v>9</v>
      </c>
      <c r="F30" s="1">
        <f t="shared" si="2"/>
        <v>6.7307692307692308</v>
      </c>
    </row>
    <row r="31" spans="1:6" x14ac:dyDescent="0.25">
      <c r="A31">
        <v>30</v>
      </c>
      <c r="B31">
        <v>2008</v>
      </c>
      <c r="C31" t="s">
        <v>11</v>
      </c>
      <c r="D31">
        <v>21</v>
      </c>
      <c r="E31">
        <v>10</v>
      </c>
      <c r="F31" s="1">
        <f t="shared" si="2"/>
        <v>6.7307692307692308</v>
      </c>
    </row>
    <row r="32" spans="1:6" x14ac:dyDescent="0.25">
      <c r="A32">
        <v>31</v>
      </c>
      <c r="B32">
        <v>2009</v>
      </c>
      <c r="C32" t="s">
        <v>5</v>
      </c>
      <c r="D32">
        <v>67</v>
      </c>
      <c r="E32">
        <v>1</v>
      </c>
      <c r="F32" s="1">
        <f>(D32/SUM($D$32:$D$41))*100</f>
        <v>18.87323943661972</v>
      </c>
    </row>
    <row r="33" spans="1:6" x14ac:dyDescent="0.25">
      <c r="A33">
        <v>32</v>
      </c>
      <c r="B33">
        <v>2009</v>
      </c>
      <c r="C33" t="s">
        <v>6</v>
      </c>
      <c r="D33">
        <v>53</v>
      </c>
      <c r="E33">
        <v>2</v>
      </c>
      <c r="F33" s="1">
        <f t="shared" ref="F33:F41" si="3">(D33/SUM($D$32:$D$41))*100</f>
        <v>14.929577464788732</v>
      </c>
    </row>
    <row r="34" spans="1:6" x14ac:dyDescent="0.25">
      <c r="A34">
        <v>33</v>
      </c>
      <c r="B34">
        <v>2009</v>
      </c>
      <c r="C34" t="s">
        <v>17</v>
      </c>
      <c r="D34">
        <v>42</v>
      </c>
      <c r="E34">
        <v>3</v>
      </c>
      <c r="F34" s="1">
        <f t="shared" si="3"/>
        <v>11.830985915492958</v>
      </c>
    </row>
    <row r="35" spans="1:6" x14ac:dyDescent="0.25">
      <c r="A35">
        <v>34</v>
      </c>
      <c r="B35">
        <v>2009</v>
      </c>
      <c r="C35" t="s">
        <v>14</v>
      </c>
      <c r="D35">
        <v>35</v>
      </c>
      <c r="E35">
        <v>4</v>
      </c>
      <c r="F35" s="1">
        <f t="shared" si="3"/>
        <v>9.8591549295774641</v>
      </c>
    </row>
    <row r="36" spans="1:6" x14ac:dyDescent="0.25">
      <c r="A36">
        <v>35</v>
      </c>
      <c r="B36">
        <v>2009</v>
      </c>
      <c r="C36" t="s">
        <v>18</v>
      </c>
      <c r="D36">
        <v>32</v>
      </c>
      <c r="E36">
        <v>5</v>
      </c>
      <c r="F36" s="1">
        <f t="shared" si="3"/>
        <v>9.0140845070422539</v>
      </c>
    </row>
    <row r="37" spans="1:6" x14ac:dyDescent="0.25">
      <c r="A37">
        <v>36</v>
      </c>
      <c r="B37">
        <v>2009</v>
      </c>
      <c r="C37" t="s">
        <v>15</v>
      </c>
      <c r="D37">
        <v>29</v>
      </c>
      <c r="E37">
        <v>6</v>
      </c>
      <c r="F37" s="1">
        <f t="shared" si="3"/>
        <v>8.169014084507042</v>
      </c>
    </row>
    <row r="38" spans="1:6" x14ac:dyDescent="0.25">
      <c r="A38">
        <v>37</v>
      </c>
      <c r="B38">
        <v>2009</v>
      </c>
      <c r="C38" t="s">
        <v>19</v>
      </c>
      <c r="D38">
        <v>29</v>
      </c>
      <c r="E38">
        <v>7</v>
      </c>
      <c r="F38" s="1">
        <f t="shared" si="3"/>
        <v>8.169014084507042</v>
      </c>
    </row>
    <row r="39" spans="1:6" x14ac:dyDescent="0.25">
      <c r="A39">
        <v>38</v>
      </c>
      <c r="B39">
        <v>2009</v>
      </c>
      <c r="C39" t="s">
        <v>20</v>
      </c>
      <c r="D39">
        <v>28</v>
      </c>
      <c r="E39">
        <v>8</v>
      </c>
      <c r="F39" s="1">
        <f t="shared" si="3"/>
        <v>7.887323943661972</v>
      </c>
    </row>
    <row r="40" spans="1:6" x14ac:dyDescent="0.25">
      <c r="A40">
        <v>39</v>
      </c>
      <c r="B40">
        <v>2009</v>
      </c>
      <c r="C40" t="s">
        <v>16</v>
      </c>
      <c r="D40">
        <v>21</v>
      </c>
      <c r="E40">
        <v>9</v>
      </c>
      <c r="F40" s="1">
        <f t="shared" si="3"/>
        <v>5.915492957746479</v>
      </c>
    </row>
    <row r="41" spans="1:6" x14ac:dyDescent="0.25">
      <c r="A41">
        <v>40</v>
      </c>
      <c r="B41">
        <v>2009</v>
      </c>
      <c r="C41" t="s">
        <v>21</v>
      </c>
      <c r="D41">
        <v>19</v>
      </c>
      <c r="E41">
        <v>10</v>
      </c>
      <c r="F41" s="1">
        <f t="shared" si="3"/>
        <v>5.352112676056338</v>
      </c>
    </row>
    <row r="42" spans="1:6" x14ac:dyDescent="0.25">
      <c r="A42">
        <v>41</v>
      </c>
      <c r="B42">
        <v>2010</v>
      </c>
      <c r="C42" t="s">
        <v>5</v>
      </c>
      <c r="D42">
        <v>54</v>
      </c>
      <c r="E42">
        <v>1</v>
      </c>
      <c r="F42" s="1">
        <f>(D42/SUM($D$42:$D$51))*100</f>
        <v>16.314199395770395</v>
      </c>
    </row>
    <row r="43" spans="1:6" x14ac:dyDescent="0.25">
      <c r="A43">
        <v>42</v>
      </c>
      <c r="B43">
        <v>2010</v>
      </c>
      <c r="C43" t="s">
        <v>6</v>
      </c>
      <c r="D43">
        <v>46</v>
      </c>
      <c r="E43">
        <v>2</v>
      </c>
      <c r="F43" s="1">
        <f t="shared" ref="F43:F51" si="4">(D43/SUM($D$42:$D$51))*100</f>
        <v>13.897280966767372</v>
      </c>
    </row>
    <row r="44" spans="1:6" x14ac:dyDescent="0.25">
      <c r="A44">
        <v>43</v>
      </c>
      <c r="B44">
        <v>2010</v>
      </c>
      <c r="C44" t="s">
        <v>4</v>
      </c>
      <c r="D44">
        <v>44</v>
      </c>
      <c r="E44">
        <v>3</v>
      </c>
      <c r="F44" s="1">
        <f t="shared" si="4"/>
        <v>13.293051359516618</v>
      </c>
    </row>
    <row r="45" spans="1:6" x14ac:dyDescent="0.25">
      <c r="A45">
        <v>44</v>
      </c>
      <c r="B45">
        <v>2010</v>
      </c>
      <c r="C45" t="s">
        <v>22</v>
      </c>
      <c r="D45">
        <v>31</v>
      </c>
      <c r="E45">
        <v>4</v>
      </c>
      <c r="F45" s="1">
        <f t="shared" si="4"/>
        <v>9.3655589123867067</v>
      </c>
    </row>
    <row r="46" spans="1:6" x14ac:dyDescent="0.25">
      <c r="A46">
        <v>45</v>
      </c>
      <c r="B46">
        <v>2010</v>
      </c>
      <c r="C46" t="s">
        <v>11</v>
      </c>
      <c r="D46">
        <v>28</v>
      </c>
      <c r="E46">
        <v>5</v>
      </c>
      <c r="F46" s="1">
        <f t="shared" si="4"/>
        <v>8.4592145015105746</v>
      </c>
    </row>
    <row r="47" spans="1:6" x14ac:dyDescent="0.25">
      <c r="A47">
        <v>46</v>
      </c>
      <c r="B47">
        <v>2010</v>
      </c>
      <c r="C47" t="s">
        <v>9</v>
      </c>
      <c r="D47">
        <v>28</v>
      </c>
      <c r="E47">
        <v>6</v>
      </c>
      <c r="F47" s="1">
        <f t="shared" si="4"/>
        <v>8.4592145015105746</v>
      </c>
    </row>
    <row r="48" spans="1:6" x14ac:dyDescent="0.25">
      <c r="A48">
        <v>47</v>
      </c>
      <c r="B48">
        <v>2010</v>
      </c>
      <c r="C48" t="s">
        <v>15</v>
      </c>
      <c r="D48">
        <v>26</v>
      </c>
      <c r="E48">
        <v>7</v>
      </c>
      <c r="F48" s="1">
        <f t="shared" si="4"/>
        <v>7.8549848942598182</v>
      </c>
    </row>
    <row r="49" spans="1:6" x14ac:dyDescent="0.25">
      <c r="A49">
        <v>48</v>
      </c>
      <c r="B49">
        <v>2010</v>
      </c>
      <c r="C49" t="s">
        <v>19</v>
      </c>
      <c r="D49">
        <v>26</v>
      </c>
      <c r="E49">
        <v>8</v>
      </c>
      <c r="F49" s="1">
        <f t="shared" si="4"/>
        <v>7.8549848942598182</v>
      </c>
    </row>
    <row r="50" spans="1:6" x14ac:dyDescent="0.25">
      <c r="A50">
        <v>49</v>
      </c>
      <c r="B50">
        <v>2010</v>
      </c>
      <c r="C50" t="s">
        <v>47</v>
      </c>
      <c r="D50">
        <v>24</v>
      </c>
      <c r="E50">
        <v>9</v>
      </c>
      <c r="F50" s="1">
        <f t="shared" si="4"/>
        <v>7.2507552870090644</v>
      </c>
    </row>
    <row r="51" spans="1:6" x14ac:dyDescent="0.25">
      <c r="A51">
        <v>50</v>
      </c>
      <c r="B51">
        <v>2010</v>
      </c>
      <c r="C51" t="s">
        <v>23</v>
      </c>
      <c r="D51">
        <v>24</v>
      </c>
      <c r="E51">
        <v>10</v>
      </c>
      <c r="F51" s="1">
        <f t="shared" si="4"/>
        <v>7.2507552870090644</v>
      </c>
    </row>
    <row r="52" spans="1:6" x14ac:dyDescent="0.25">
      <c r="A52">
        <v>51</v>
      </c>
      <c r="B52">
        <v>2011</v>
      </c>
      <c r="C52" t="s">
        <v>4</v>
      </c>
      <c r="D52">
        <v>65</v>
      </c>
      <c r="E52">
        <v>1</v>
      </c>
      <c r="F52" s="1">
        <f>(D52/SUM($D$52:$D$61))*100</f>
        <v>18.055555555555554</v>
      </c>
    </row>
    <row r="53" spans="1:6" x14ac:dyDescent="0.25">
      <c r="A53">
        <v>52</v>
      </c>
      <c r="B53">
        <v>2011</v>
      </c>
      <c r="C53" t="s">
        <v>6</v>
      </c>
      <c r="D53">
        <v>46</v>
      </c>
      <c r="E53">
        <v>2</v>
      </c>
      <c r="F53" s="1">
        <f t="shared" ref="F53:F61" si="5">(D53/SUM($D$52:$D$61))*100</f>
        <v>12.777777777777777</v>
      </c>
    </row>
    <row r="54" spans="1:6" x14ac:dyDescent="0.25">
      <c r="A54">
        <v>53</v>
      </c>
      <c r="B54">
        <v>2011</v>
      </c>
      <c r="C54" t="s">
        <v>22</v>
      </c>
      <c r="D54">
        <v>36</v>
      </c>
      <c r="E54">
        <v>3</v>
      </c>
      <c r="F54" s="1">
        <f t="shared" si="5"/>
        <v>10</v>
      </c>
    </row>
    <row r="55" spans="1:6" x14ac:dyDescent="0.25">
      <c r="A55">
        <v>54</v>
      </c>
      <c r="B55">
        <v>2011</v>
      </c>
      <c r="C55" t="s">
        <v>5</v>
      </c>
      <c r="D55">
        <v>34</v>
      </c>
      <c r="E55">
        <v>4</v>
      </c>
      <c r="F55" s="1">
        <f t="shared" si="5"/>
        <v>9.4444444444444446</v>
      </c>
    </row>
    <row r="56" spans="1:6" x14ac:dyDescent="0.25">
      <c r="A56">
        <v>55</v>
      </c>
      <c r="B56">
        <v>2011</v>
      </c>
      <c r="C56" t="s">
        <v>19</v>
      </c>
      <c r="D56">
        <v>34</v>
      </c>
      <c r="E56">
        <v>5</v>
      </c>
      <c r="F56" s="1">
        <f t="shared" si="5"/>
        <v>9.4444444444444446</v>
      </c>
    </row>
    <row r="57" spans="1:6" x14ac:dyDescent="0.25">
      <c r="A57">
        <v>56</v>
      </c>
      <c r="B57">
        <v>2011</v>
      </c>
      <c r="C57" t="s">
        <v>25</v>
      </c>
      <c r="D57">
        <v>32</v>
      </c>
      <c r="E57">
        <v>6</v>
      </c>
      <c r="F57" s="1">
        <f t="shared" si="5"/>
        <v>8.8888888888888893</v>
      </c>
    </row>
    <row r="58" spans="1:6" x14ac:dyDescent="0.25">
      <c r="A58">
        <v>57</v>
      </c>
      <c r="B58">
        <v>2011</v>
      </c>
      <c r="C58" t="s">
        <v>26</v>
      </c>
      <c r="D58">
        <v>32</v>
      </c>
      <c r="E58">
        <v>7</v>
      </c>
      <c r="F58" s="1">
        <f t="shared" si="5"/>
        <v>8.8888888888888893</v>
      </c>
    </row>
    <row r="59" spans="1:6" x14ac:dyDescent="0.25">
      <c r="A59">
        <v>58</v>
      </c>
      <c r="B59">
        <v>2011</v>
      </c>
      <c r="C59" t="s">
        <v>9</v>
      </c>
      <c r="D59">
        <v>31</v>
      </c>
      <c r="E59">
        <v>8</v>
      </c>
      <c r="F59" s="1">
        <f t="shared" si="5"/>
        <v>8.6111111111111107</v>
      </c>
    </row>
    <row r="60" spans="1:6" x14ac:dyDescent="0.25">
      <c r="A60">
        <v>59</v>
      </c>
      <c r="B60">
        <v>2011</v>
      </c>
      <c r="C60" t="s">
        <v>27</v>
      </c>
      <c r="D60">
        <v>26</v>
      </c>
      <c r="E60">
        <v>9</v>
      </c>
      <c r="F60" s="1">
        <f t="shared" si="5"/>
        <v>7.2222222222222214</v>
      </c>
    </row>
    <row r="61" spans="1:6" x14ac:dyDescent="0.25">
      <c r="A61">
        <v>60</v>
      </c>
      <c r="B61">
        <v>2011</v>
      </c>
      <c r="C61" t="s">
        <v>28</v>
      </c>
      <c r="D61">
        <v>24</v>
      </c>
      <c r="E61">
        <v>10</v>
      </c>
      <c r="F61" s="1">
        <f t="shared" si="5"/>
        <v>6.666666666666667</v>
      </c>
    </row>
    <row r="62" spans="1:6" x14ac:dyDescent="0.25">
      <c r="A62">
        <v>61</v>
      </c>
      <c r="B62">
        <v>2012</v>
      </c>
      <c r="C62" t="s">
        <v>6</v>
      </c>
      <c r="D62">
        <v>49</v>
      </c>
      <c r="E62">
        <v>1</v>
      </c>
      <c r="F62" s="1">
        <f>(D62/SUM($D$62:$D$71))*100</f>
        <v>13.35149863760218</v>
      </c>
    </row>
    <row r="63" spans="1:6" x14ac:dyDescent="0.25">
      <c r="A63">
        <v>62</v>
      </c>
      <c r="B63">
        <v>2012</v>
      </c>
      <c r="C63" t="s">
        <v>9</v>
      </c>
      <c r="D63">
        <v>48</v>
      </c>
      <c r="E63">
        <v>2</v>
      </c>
      <c r="F63" s="1">
        <f t="shared" ref="F63:F71" si="6">(D63/SUM($D$62:$D$71))*100</f>
        <v>13.079019073569482</v>
      </c>
    </row>
    <row r="64" spans="1:6" x14ac:dyDescent="0.25">
      <c r="A64">
        <v>63</v>
      </c>
      <c r="B64">
        <v>2012</v>
      </c>
      <c r="C64" t="s">
        <v>19</v>
      </c>
      <c r="D64">
        <v>46</v>
      </c>
      <c r="E64">
        <v>3</v>
      </c>
      <c r="F64" s="1">
        <f t="shared" si="6"/>
        <v>12.534059945504087</v>
      </c>
    </row>
    <row r="65" spans="1:6" x14ac:dyDescent="0.25">
      <c r="A65">
        <v>64</v>
      </c>
      <c r="B65">
        <v>2012</v>
      </c>
      <c r="C65" t="s">
        <v>4</v>
      </c>
      <c r="D65">
        <v>44</v>
      </c>
      <c r="E65">
        <v>4</v>
      </c>
      <c r="F65" s="1">
        <f t="shared" si="6"/>
        <v>11.989100817438691</v>
      </c>
    </row>
    <row r="66" spans="1:6" x14ac:dyDescent="0.25">
      <c r="A66">
        <v>65</v>
      </c>
      <c r="B66">
        <v>2012</v>
      </c>
      <c r="C66" t="s">
        <v>5</v>
      </c>
      <c r="D66">
        <v>39</v>
      </c>
      <c r="E66">
        <v>5</v>
      </c>
      <c r="F66" s="1">
        <f t="shared" si="6"/>
        <v>10.626702997275205</v>
      </c>
    </row>
    <row r="67" spans="1:6" x14ac:dyDescent="0.25">
      <c r="A67">
        <v>66</v>
      </c>
      <c r="B67">
        <v>2012</v>
      </c>
      <c r="C67" t="s">
        <v>21</v>
      </c>
      <c r="D67">
        <v>32</v>
      </c>
      <c r="E67">
        <v>6</v>
      </c>
      <c r="F67" s="1">
        <f t="shared" si="6"/>
        <v>8.7193460490463206</v>
      </c>
    </row>
    <row r="68" spans="1:6" x14ac:dyDescent="0.25">
      <c r="A68">
        <v>67</v>
      </c>
      <c r="B68">
        <v>2012</v>
      </c>
      <c r="C68" t="s">
        <v>11</v>
      </c>
      <c r="D68">
        <v>31</v>
      </c>
      <c r="E68">
        <v>7</v>
      </c>
      <c r="F68" s="1">
        <f t="shared" si="6"/>
        <v>8.4468664850136239</v>
      </c>
    </row>
    <row r="69" spans="1:6" x14ac:dyDescent="0.25">
      <c r="A69">
        <v>68</v>
      </c>
      <c r="B69">
        <v>2012</v>
      </c>
      <c r="C69" t="s">
        <v>29</v>
      </c>
      <c r="D69">
        <v>27</v>
      </c>
      <c r="E69">
        <v>8</v>
      </c>
      <c r="F69" s="1">
        <f t="shared" si="6"/>
        <v>7.3569482288828345</v>
      </c>
    </row>
    <row r="70" spans="1:6" x14ac:dyDescent="0.25">
      <c r="A70">
        <v>69</v>
      </c>
      <c r="B70">
        <v>2012</v>
      </c>
      <c r="C70" t="s">
        <v>25</v>
      </c>
      <c r="D70">
        <v>26</v>
      </c>
      <c r="E70">
        <v>9</v>
      </c>
      <c r="F70" s="1">
        <f t="shared" si="6"/>
        <v>7.0844686648501369</v>
      </c>
    </row>
    <row r="71" spans="1:6" x14ac:dyDescent="0.25">
      <c r="A71">
        <v>70</v>
      </c>
      <c r="B71">
        <v>2012</v>
      </c>
      <c r="C71" t="s">
        <v>26</v>
      </c>
      <c r="D71">
        <v>25</v>
      </c>
      <c r="E71">
        <v>10</v>
      </c>
      <c r="F71" s="1">
        <f t="shared" si="6"/>
        <v>6.8119891008174394</v>
      </c>
    </row>
    <row r="72" spans="1:6" x14ac:dyDescent="0.25">
      <c r="A72">
        <v>71</v>
      </c>
      <c r="B72">
        <v>2013</v>
      </c>
      <c r="C72" t="s">
        <v>4</v>
      </c>
      <c r="D72">
        <v>95</v>
      </c>
      <c r="E72">
        <v>1</v>
      </c>
      <c r="F72" s="1">
        <f>(D72/SUM($D$72:$D$81))*100</f>
        <v>16.843971631205672</v>
      </c>
    </row>
    <row r="73" spans="1:6" x14ac:dyDescent="0.25">
      <c r="A73">
        <v>72</v>
      </c>
      <c r="B73">
        <v>2013</v>
      </c>
      <c r="C73" t="s">
        <v>6</v>
      </c>
      <c r="D73">
        <v>70</v>
      </c>
      <c r="E73">
        <v>2</v>
      </c>
      <c r="F73" s="1">
        <f t="shared" ref="F73:F81" si="7">(D73/SUM($D$72:$D$81))*100</f>
        <v>12.411347517730496</v>
      </c>
    </row>
    <row r="74" spans="1:6" x14ac:dyDescent="0.25">
      <c r="A74">
        <v>73</v>
      </c>
      <c r="B74">
        <v>2013</v>
      </c>
      <c r="C74" t="s">
        <v>11</v>
      </c>
      <c r="D74">
        <v>66</v>
      </c>
      <c r="E74">
        <v>3</v>
      </c>
      <c r="F74" s="1">
        <f t="shared" si="7"/>
        <v>11.702127659574469</v>
      </c>
    </row>
    <row r="75" spans="1:6" x14ac:dyDescent="0.25">
      <c r="A75">
        <v>74</v>
      </c>
      <c r="B75">
        <v>2013</v>
      </c>
      <c r="C75" t="s">
        <v>9</v>
      </c>
      <c r="D75">
        <v>52</v>
      </c>
      <c r="E75">
        <v>4</v>
      </c>
      <c r="F75" s="1">
        <f t="shared" si="7"/>
        <v>9.2198581560283674</v>
      </c>
    </row>
    <row r="76" spans="1:6" x14ac:dyDescent="0.25">
      <c r="A76">
        <v>75</v>
      </c>
      <c r="B76">
        <v>2013</v>
      </c>
      <c r="C76" t="s">
        <v>19</v>
      </c>
      <c r="D76">
        <v>51</v>
      </c>
      <c r="E76">
        <v>5</v>
      </c>
      <c r="F76" s="1">
        <f t="shared" si="7"/>
        <v>9.0425531914893629</v>
      </c>
    </row>
    <row r="77" spans="1:6" x14ac:dyDescent="0.25">
      <c r="A77">
        <v>76</v>
      </c>
      <c r="B77">
        <v>2013</v>
      </c>
      <c r="C77" t="s">
        <v>30</v>
      </c>
      <c r="D77">
        <v>49</v>
      </c>
      <c r="E77">
        <v>6</v>
      </c>
      <c r="F77" s="1">
        <f t="shared" si="7"/>
        <v>8.6879432624113484</v>
      </c>
    </row>
    <row r="78" spans="1:6" x14ac:dyDescent="0.25">
      <c r="A78">
        <v>77</v>
      </c>
      <c r="B78">
        <v>2013</v>
      </c>
      <c r="C78" t="s">
        <v>16</v>
      </c>
      <c r="D78">
        <v>48</v>
      </c>
      <c r="E78">
        <v>7</v>
      </c>
      <c r="F78" s="1">
        <f t="shared" si="7"/>
        <v>8.5106382978723403</v>
      </c>
    </row>
    <row r="79" spans="1:6" x14ac:dyDescent="0.25">
      <c r="A79">
        <v>78</v>
      </c>
      <c r="B79">
        <v>2013</v>
      </c>
      <c r="C79" t="s">
        <v>31</v>
      </c>
      <c r="D79">
        <v>48</v>
      </c>
      <c r="E79">
        <v>8</v>
      </c>
      <c r="F79" s="1">
        <f t="shared" si="7"/>
        <v>8.5106382978723403</v>
      </c>
    </row>
    <row r="80" spans="1:6" x14ac:dyDescent="0.25">
      <c r="A80">
        <v>79</v>
      </c>
      <c r="B80">
        <v>2013</v>
      </c>
      <c r="C80" t="s">
        <v>29</v>
      </c>
      <c r="D80">
        <v>43</v>
      </c>
      <c r="E80">
        <v>9</v>
      </c>
      <c r="F80" s="1">
        <f t="shared" si="7"/>
        <v>7.624113475177305</v>
      </c>
    </row>
    <row r="81" spans="1:6" x14ac:dyDescent="0.25">
      <c r="A81">
        <v>80</v>
      </c>
      <c r="B81">
        <v>2013</v>
      </c>
      <c r="C81" t="s">
        <v>32</v>
      </c>
      <c r="D81">
        <v>42</v>
      </c>
      <c r="E81">
        <v>10</v>
      </c>
      <c r="F81" s="1">
        <f t="shared" si="7"/>
        <v>7.4468085106382977</v>
      </c>
    </row>
    <row r="82" spans="1:6" x14ac:dyDescent="0.25">
      <c r="A82">
        <v>81</v>
      </c>
      <c r="B82">
        <v>2014</v>
      </c>
      <c r="C82" t="s">
        <v>4</v>
      </c>
      <c r="D82">
        <v>121</v>
      </c>
      <c r="E82">
        <v>1</v>
      </c>
      <c r="F82" s="1">
        <f>(D82/SUM($D$82:$D$91))*100</f>
        <v>18.473282442748094</v>
      </c>
    </row>
    <row r="83" spans="1:6" x14ac:dyDescent="0.25">
      <c r="A83">
        <v>82</v>
      </c>
      <c r="B83">
        <v>2014</v>
      </c>
      <c r="C83" t="s">
        <v>16</v>
      </c>
      <c r="D83">
        <v>80</v>
      </c>
      <c r="E83">
        <v>2</v>
      </c>
      <c r="F83" s="1">
        <f t="shared" ref="F83:F91" si="8">(D83/SUM($D$82:$D$91))*100</f>
        <v>12.213740458015266</v>
      </c>
    </row>
    <row r="84" spans="1:6" x14ac:dyDescent="0.25">
      <c r="A84">
        <v>83</v>
      </c>
      <c r="B84">
        <v>2014</v>
      </c>
      <c r="C84" t="s">
        <v>33</v>
      </c>
      <c r="D84">
        <v>72</v>
      </c>
      <c r="E84">
        <v>3</v>
      </c>
      <c r="F84" s="1">
        <f t="shared" si="8"/>
        <v>10.992366412213741</v>
      </c>
    </row>
    <row r="85" spans="1:6" x14ac:dyDescent="0.25">
      <c r="A85">
        <v>84</v>
      </c>
      <c r="B85">
        <v>2014</v>
      </c>
      <c r="C85" t="s">
        <v>19</v>
      </c>
      <c r="D85">
        <v>64</v>
      </c>
      <c r="E85">
        <v>4</v>
      </c>
      <c r="F85" s="1">
        <f t="shared" si="8"/>
        <v>9.770992366412214</v>
      </c>
    </row>
    <row r="86" spans="1:6" x14ac:dyDescent="0.25">
      <c r="A86">
        <v>85</v>
      </c>
      <c r="B86">
        <v>2014</v>
      </c>
      <c r="C86" t="s">
        <v>34</v>
      </c>
      <c r="D86">
        <v>58</v>
      </c>
      <c r="E86">
        <v>5</v>
      </c>
      <c r="F86" s="1">
        <f t="shared" si="8"/>
        <v>8.8549618320610683</v>
      </c>
    </row>
    <row r="87" spans="1:6" x14ac:dyDescent="0.25">
      <c r="A87">
        <v>86</v>
      </c>
      <c r="B87">
        <v>2014</v>
      </c>
      <c r="C87" t="s">
        <v>11</v>
      </c>
      <c r="D87">
        <v>57</v>
      </c>
      <c r="E87">
        <v>6</v>
      </c>
      <c r="F87" s="1">
        <f t="shared" si="8"/>
        <v>8.7022900763358777</v>
      </c>
    </row>
    <row r="88" spans="1:6" x14ac:dyDescent="0.25">
      <c r="A88">
        <v>87</v>
      </c>
      <c r="B88">
        <v>2014</v>
      </c>
      <c r="C88" t="s">
        <v>6</v>
      </c>
      <c r="D88">
        <v>56</v>
      </c>
      <c r="E88">
        <v>7</v>
      </c>
      <c r="F88" s="1">
        <f t="shared" si="8"/>
        <v>8.5496183206106871</v>
      </c>
    </row>
    <row r="89" spans="1:6" x14ac:dyDescent="0.25">
      <c r="A89">
        <v>88</v>
      </c>
      <c r="B89">
        <v>2014</v>
      </c>
      <c r="C89" t="s">
        <v>18</v>
      </c>
      <c r="D89">
        <v>51</v>
      </c>
      <c r="E89">
        <v>8</v>
      </c>
      <c r="F89" s="1">
        <f t="shared" si="8"/>
        <v>7.7862595419847329</v>
      </c>
    </row>
    <row r="90" spans="1:6" x14ac:dyDescent="0.25">
      <c r="A90">
        <v>89</v>
      </c>
      <c r="B90">
        <v>2014</v>
      </c>
      <c r="C90" t="s">
        <v>32</v>
      </c>
      <c r="D90">
        <v>48</v>
      </c>
      <c r="E90">
        <v>9</v>
      </c>
      <c r="F90" s="1">
        <f t="shared" si="8"/>
        <v>7.328244274809161</v>
      </c>
    </row>
    <row r="91" spans="1:6" x14ac:dyDescent="0.25">
      <c r="A91">
        <v>90</v>
      </c>
      <c r="B91">
        <v>2014</v>
      </c>
      <c r="C91" t="s">
        <v>35</v>
      </c>
      <c r="D91">
        <v>48</v>
      </c>
      <c r="E91">
        <v>10</v>
      </c>
      <c r="F91" s="1">
        <f t="shared" si="8"/>
        <v>7.328244274809161</v>
      </c>
    </row>
    <row r="92" spans="1:6" x14ac:dyDescent="0.25">
      <c r="A92">
        <v>91</v>
      </c>
      <c r="B92">
        <v>2015</v>
      </c>
      <c r="C92" t="s">
        <v>4</v>
      </c>
      <c r="D92">
        <v>96</v>
      </c>
      <c r="E92">
        <v>1</v>
      </c>
      <c r="F92" s="1">
        <f>(D92/SUM($D$92:$D$101))*100</f>
        <v>18.75</v>
      </c>
    </row>
    <row r="93" spans="1:6" x14ac:dyDescent="0.25">
      <c r="A93">
        <v>92</v>
      </c>
      <c r="B93">
        <v>2015</v>
      </c>
      <c r="C93" t="s">
        <v>16</v>
      </c>
      <c r="D93">
        <v>68</v>
      </c>
      <c r="E93">
        <v>2</v>
      </c>
      <c r="F93" s="1">
        <f t="shared" ref="F93:F101" si="9">(D93/SUM($D$92:$D$101))*100</f>
        <v>13.28125</v>
      </c>
    </row>
    <row r="94" spans="1:6" x14ac:dyDescent="0.25">
      <c r="A94">
        <v>93</v>
      </c>
      <c r="B94">
        <v>2015</v>
      </c>
      <c r="C94" t="s">
        <v>33</v>
      </c>
      <c r="D94">
        <v>60</v>
      </c>
      <c r="E94">
        <v>3</v>
      </c>
      <c r="F94" s="1">
        <f t="shared" si="9"/>
        <v>11.71875</v>
      </c>
    </row>
    <row r="95" spans="1:6" x14ac:dyDescent="0.25">
      <c r="A95">
        <v>94</v>
      </c>
      <c r="B95">
        <v>2015</v>
      </c>
      <c r="C95" t="s">
        <v>5</v>
      </c>
      <c r="D95">
        <v>46</v>
      </c>
      <c r="E95">
        <v>4</v>
      </c>
      <c r="F95" s="1">
        <f t="shared" si="9"/>
        <v>8.984375</v>
      </c>
    </row>
    <row r="96" spans="1:6" x14ac:dyDescent="0.25">
      <c r="A96">
        <v>95</v>
      </c>
      <c r="B96">
        <v>2015</v>
      </c>
      <c r="C96" t="s">
        <v>11</v>
      </c>
      <c r="D96">
        <v>42</v>
      </c>
      <c r="E96">
        <v>5</v>
      </c>
      <c r="F96" s="1">
        <f t="shared" si="9"/>
        <v>8.203125</v>
      </c>
    </row>
    <row r="97" spans="1:6" x14ac:dyDescent="0.25">
      <c r="A97">
        <v>96</v>
      </c>
      <c r="B97">
        <v>2015</v>
      </c>
      <c r="C97" t="s">
        <v>36</v>
      </c>
      <c r="D97">
        <v>42</v>
      </c>
      <c r="E97">
        <v>6</v>
      </c>
      <c r="F97" s="1">
        <f t="shared" si="9"/>
        <v>8.203125</v>
      </c>
    </row>
    <row r="98" spans="1:6" x14ac:dyDescent="0.25">
      <c r="A98">
        <v>97</v>
      </c>
      <c r="B98">
        <v>2015</v>
      </c>
      <c r="C98" t="s">
        <v>32</v>
      </c>
      <c r="D98">
        <v>41</v>
      </c>
      <c r="E98">
        <v>7</v>
      </c>
      <c r="F98" s="1">
        <f t="shared" si="9"/>
        <v>8.0078125</v>
      </c>
    </row>
    <row r="99" spans="1:6" x14ac:dyDescent="0.25">
      <c r="A99">
        <v>98</v>
      </c>
      <c r="B99">
        <v>2015</v>
      </c>
      <c r="C99" t="s">
        <v>6</v>
      </c>
      <c r="D99">
        <v>39</v>
      </c>
      <c r="E99">
        <v>8</v>
      </c>
      <c r="F99" s="1">
        <f t="shared" si="9"/>
        <v>7.6171875</v>
      </c>
    </row>
    <row r="100" spans="1:6" x14ac:dyDescent="0.25">
      <c r="A100">
        <v>99</v>
      </c>
      <c r="B100">
        <v>2015</v>
      </c>
      <c r="C100" t="s">
        <v>37</v>
      </c>
      <c r="D100">
        <v>39</v>
      </c>
      <c r="E100">
        <v>9</v>
      </c>
      <c r="F100" s="1">
        <f t="shared" si="9"/>
        <v>7.6171875</v>
      </c>
    </row>
    <row r="101" spans="1:6" x14ac:dyDescent="0.25">
      <c r="A101">
        <v>100</v>
      </c>
      <c r="B101">
        <v>2015</v>
      </c>
      <c r="C101" t="s">
        <v>31</v>
      </c>
      <c r="D101">
        <v>39</v>
      </c>
      <c r="E101">
        <v>10</v>
      </c>
      <c r="F101" s="1">
        <f t="shared" si="9"/>
        <v>7.6171875</v>
      </c>
    </row>
    <row r="102" spans="1:6" x14ac:dyDescent="0.25">
      <c r="A102">
        <v>101</v>
      </c>
      <c r="B102">
        <v>2016</v>
      </c>
      <c r="C102" t="s">
        <v>4</v>
      </c>
      <c r="D102">
        <v>81</v>
      </c>
      <c r="E102">
        <v>1</v>
      </c>
      <c r="F102" s="1">
        <f>(D102/SUM($D$102:$D$111))*100</f>
        <v>14.542190305206462</v>
      </c>
    </row>
    <row r="103" spans="1:6" x14ac:dyDescent="0.25">
      <c r="A103">
        <v>102</v>
      </c>
      <c r="B103">
        <v>2016</v>
      </c>
      <c r="C103" t="s">
        <v>5</v>
      </c>
      <c r="D103">
        <v>71</v>
      </c>
      <c r="E103">
        <v>2</v>
      </c>
      <c r="F103" s="1">
        <f t="shared" ref="F103:F111" si="10">(D103/SUM($D$102:$D$111))*100</f>
        <v>12.746858168761221</v>
      </c>
    </row>
    <row r="104" spans="1:6" x14ac:dyDescent="0.25">
      <c r="A104">
        <v>103</v>
      </c>
      <c r="B104">
        <v>2016</v>
      </c>
      <c r="C104" t="s">
        <v>9</v>
      </c>
      <c r="D104">
        <v>62</v>
      </c>
      <c r="E104">
        <v>3</v>
      </c>
      <c r="F104" s="1">
        <f t="shared" si="10"/>
        <v>11.131059245960502</v>
      </c>
    </row>
    <row r="105" spans="1:6" x14ac:dyDescent="0.25">
      <c r="A105">
        <v>104</v>
      </c>
      <c r="B105">
        <v>2016</v>
      </c>
      <c r="C105" t="s">
        <v>16</v>
      </c>
      <c r="D105">
        <v>61</v>
      </c>
      <c r="E105">
        <v>4</v>
      </c>
      <c r="F105" s="1">
        <f t="shared" si="10"/>
        <v>10.951526032315979</v>
      </c>
    </row>
    <row r="106" spans="1:6" x14ac:dyDescent="0.25">
      <c r="A106">
        <v>105</v>
      </c>
      <c r="B106">
        <v>2016</v>
      </c>
      <c r="C106" t="s">
        <v>24</v>
      </c>
      <c r="D106">
        <v>55</v>
      </c>
      <c r="E106">
        <v>5</v>
      </c>
      <c r="F106" s="1">
        <f t="shared" si="10"/>
        <v>9.8743267504488337</v>
      </c>
    </row>
    <row r="107" spans="1:6" x14ac:dyDescent="0.25">
      <c r="A107">
        <v>106</v>
      </c>
      <c r="B107">
        <v>2016</v>
      </c>
      <c r="C107" t="s">
        <v>6</v>
      </c>
      <c r="D107">
        <v>54</v>
      </c>
      <c r="E107">
        <v>6</v>
      </c>
      <c r="F107" s="1">
        <f t="shared" si="10"/>
        <v>9.6947935368043083</v>
      </c>
    </row>
    <row r="108" spans="1:6" x14ac:dyDescent="0.25">
      <c r="A108">
        <v>107</v>
      </c>
      <c r="B108">
        <v>2016</v>
      </c>
      <c r="C108" t="s">
        <v>32</v>
      </c>
      <c r="D108">
        <v>48</v>
      </c>
      <c r="E108">
        <v>7</v>
      </c>
      <c r="F108" s="1">
        <f t="shared" si="10"/>
        <v>8.6175942549371634</v>
      </c>
    </row>
    <row r="109" spans="1:6" x14ac:dyDescent="0.25">
      <c r="A109">
        <v>108</v>
      </c>
      <c r="B109">
        <v>2016</v>
      </c>
      <c r="C109" t="s">
        <v>33</v>
      </c>
      <c r="D109">
        <v>47</v>
      </c>
      <c r="E109">
        <v>8</v>
      </c>
      <c r="F109" s="1">
        <f t="shared" si="10"/>
        <v>8.4380610412926398</v>
      </c>
    </row>
    <row r="110" spans="1:6" x14ac:dyDescent="0.25">
      <c r="A110">
        <v>109</v>
      </c>
      <c r="B110">
        <v>2016</v>
      </c>
      <c r="C110" t="s">
        <v>11</v>
      </c>
      <c r="D110">
        <v>40</v>
      </c>
      <c r="E110">
        <v>9</v>
      </c>
      <c r="F110" s="1">
        <f t="shared" si="10"/>
        <v>7.1813285457809695</v>
      </c>
    </row>
    <row r="111" spans="1:6" x14ac:dyDescent="0.25">
      <c r="A111">
        <v>110</v>
      </c>
      <c r="B111">
        <v>2016</v>
      </c>
      <c r="C111" t="s">
        <v>18</v>
      </c>
      <c r="D111">
        <v>38</v>
      </c>
      <c r="E111">
        <v>10</v>
      </c>
      <c r="F111" s="1">
        <f t="shared" si="10"/>
        <v>6.8222621184919214</v>
      </c>
    </row>
    <row r="112" spans="1:6" x14ac:dyDescent="0.25">
      <c r="A112">
        <v>111</v>
      </c>
      <c r="B112">
        <v>2017</v>
      </c>
      <c r="C112" t="s">
        <v>4</v>
      </c>
      <c r="D112">
        <v>96</v>
      </c>
      <c r="E112">
        <v>1</v>
      </c>
      <c r="F112" s="1">
        <f>(D112/SUM($D$112:$D$121))*100</f>
        <v>17.647058823529413</v>
      </c>
    </row>
    <row r="113" spans="1:6" x14ac:dyDescent="0.25">
      <c r="A113">
        <v>112</v>
      </c>
      <c r="B113">
        <v>2017</v>
      </c>
      <c r="C113" t="s">
        <v>5</v>
      </c>
      <c r="D113">
        <v>63</v>
      </c>
      <c r="E113">
        <v>2</v>
      </c>
      <c r="F113" s="1">
        <f t="shared" ref="F113:F121" si="11">(D113/SUM($D$112:$D$121))*100</f>
        <v>11.580882352941178</v>
      </c>
    </row>
    <row r="114" spans="1:6" x14ac:dyDescent="0.25">
      <c r="A114">
        <v>113</v>
      </c>
      <c r="B114">
        <v>2017</v>
      </c>
      <c r="C114" t="s">
        <v>16</v>
      </c>
      <c r="D114">
        <v>56</v>
      </c>
      <c r="E114">
        <v>3</v>
      </c>
      <c r="F114" s="1">
        <f t="shared" si="11"/>
        <v>10.294117647058822</v>
      </c>
    </row>
    <row r="115" spans="1:6" x14ac:dyDescent="0.25">
      <c r="A115">
        <v>114</v>
      </c>
      <c r="B115">
        <v>2017</v>
      </c>
      <c r="C115" t="s">
        <v>9</v>
      </c>
      <c r="D115">
        <v>56</v>
      </c>
      <c r="E115">
        <v>4</v>
      </c>
      <c r="F115" s="1">
        <f t="shared" si="11"/>
        <v>10.294117647058822</v>
      </c>
    </row>
    <row r="116" spans="1:6" x14ac:dyDescent="0.25">
      <c r="A116">
        <v>115</v>
      </c>
      <c r="B116">
        <v>2017</v>
      </c>
      <c r="C116" t="s">
        <v>6</v>
      </c>
      <c r="D116">
        <v>54</v>
      </c>
      <c r="E116">
        <v>5</v>
      </c>
      <c r="F116" s="1">
        <f t="shared" si="11"/>
        <v>9.9264705882352935</v>
      </c>
    </row>
    <row r="117" spans="1:6" x14ac:dyDescent="0.25">
      <c r="A117">
        <v>116</v>
      </c>
      <c r="B117">
        <v>2017</v>
      </c>
      <c r="C117" t="s">
        <v>18</v>
      </c>
      <c r="D117">
        <v>48</v>
      </c>
      <c r="E117">
        <v>6</v>
      </c>
      <c r="F117" s="1">
        <f t="shared" si="11"/>
        <v>8.8235294117647065</v>
      </c>
    </row>
    <row r="118" spans="1:6" x14ac:dyDescent="0.25">
      <c r="A118">
        <v>117</v>
      </c>
      <c r="B118">
        <v>2017</v>
      </c>
      <c r="C118" t="s">
        <v>32</v>
      </c>
      <c r="D118">
        <v>48</v>
      </c>
      <c r="E118">
        <v>7</v>
      </c>
      <c r="F118" s="1">
        <f t="shared" si="11"/>
        <v>8.8235294117647065</v>
      </c>
    </row>
    <row r="119" spans="1:6" x14ac:dyDescent="0.25">
      <c r="A119">
        <v>118</v>
      </c>
      <c r="B119">
        <v>2017</v>
      </c>
      <c r="C119" t="s">
        <v>24</v>
      </c>
      <c r="D119">
        <v>46</v>
      </c>
      <c r="E119">
        <v>8</v>
      </c>
      <c r="F119" s="1">
        <f t="shared" si="11"/>
        <v>8.4558823529411775</v>
      </c>
    </row>
    <row r="120" spans="1:6" x14ac:dyDescent="0.25">
      <c r="A120">
        <v>119</v>
      </c>
      <c r="B120">
        <v>2017</v>
      </c>
      <c r="C120" t="s">
        <v>33</v>
      </c>
      <c r="D120">
        <v>40</v>
      </c>
      <c r="E120">
        <v>9</v>
      </c>
      <c r="F120" s="1">
        <f t="shared" si="11"/>
        <v>7.3529411764705888</v>
      </c>
    </row>
    <row r="121" spans="1:6" x14ac:dyDescent="0.25">
      <c r="A121">
        <v>120</v>
      </c>
      <c r="B121">
        <v>2017</v>
      </c>
      <c r="C121" t="s">
        <v>38</v>
      </c>
      <c r="D121">
        <v>37</v>
      </c>
      <c r="E121">
        <v>10</v>
      </c>
      <c r="F121" s="1">
        <f t="shared" si="11"/>
        <v>6.8014705882352935</v>
      </c>
    </row>
    <row r="122" spans="1:6" x14ac:dyDescent="0.25">
      <c r="A122">
        <v>121</v>
      </c>
      <c r="B122">
        <v>2018</v>
      </c>
      <c r="C122" t="s">
        <v>4</v>
      </c>
      <c r="D122">
        <v>75</v>
      </c>
      <c r="E122">
        <v>1</v>
      </c>
      <c r="F122" s="1">
        <f>(D122/SUM($D$122:$D$131))*100</f>
        <v>17.6056338028169</v>
      </c>
    </row>
    <row r="123" spans="1:6" x14ac:dyDescent="0.25">
      <c r="A123">
        <v>122</v>
      </c>
      <c r="B123">
        <v>2018</v>
      </c>
      <c r="C123" t="s">
        <v>16</v>
      </c>
      <c r="D123">
        <v>48</v>
      </c>
      <c r="E123">
        <v>2</v>
      </c>
      <c r="F123" s="1">
        <f t="shared" ref="F123:F131" si="12">(D123/SUM($D$122:$D$131))*100</f>
        <v>11.267605633802818</v>
      </c>
    </row>
    <row r="124" spans="1:6" x14ac:dyDescent="0.25">
      <c r="A124">
        <v>123</v>
      </c>
      <c r="B124">
        <v>2018</v>
      </c>
      <c r="C124" t="s">
        <v>5</v>
      </c>
      <c r="D124">
        <v>46</v>
      </c>
      <c r="E124">
        <v>3</v>
      </c>
      <c r="F124" s="1">
        <f t="shared" si="12"/>
        <v>10.7981220657277</v>
      </c>
    </row>
    <row r="125" spans="1:6" x14ac:dyDescent="0.25">
      <c r="A125">
        <v>124</v>
      </c>
      <c r="B125">
        <v>2018</v>
      </c>
      <c r="C125" t="s">
        <v>9</v>
      </c>
      <c r="D125">
        <v>46</v>
      </c>
      <c r="E125">
        <v>4</v>
      </c>
      <c r="F125" s="1">
        <f t="shared" si="12"/>
        <v>10.7981220657277</v>
      </c>
    </row>
    <row r="126" spans="1:6" x14ac:dyDescent="0.25">
      <c r="A126">
        <v>125</v>
      </c>
      <c r="B126">
        <v>2018</v>
      </c>
      <c r="C126" t="s">
        <v>6</v>
      </c>
      <c r="D126">
        <v>41</v>
      </c>
      <c r="E126">
        <v>5</v>
      </c>
      <c r="F126" s="1">
        <f t="shared" si="12"/>
        <v>9.624413145539906</v>
      </c>
    </row>
    <row r="127" spans="1:6" x14ac:dyDescent="0.25">
      <c r="A127">
        <v>126</v>
      </c>
      <c r="B127">
        <v>2018</v>
      </c>
      <c r="C127" t="s">
        <v>18</v>
      </c>
      <c r="D127">
        <v>40</v>
      </c>
      <c r="E127">
        <v>6</v>
      </c>
      <c r="F127" s="1">
        <f t="shared" si="12"/>
        <v>9.3896713615023462</v>
      </c>
    </row>
    <row r="128" spans="1:6" x14ac:dyDescent="0.25">
      <c r="A128">
        <v>127</v>
      </c>
      <c r="B128">
        <v>2018</v>
      </c>
      <c r="C128" t="s">
        <v>33</v>
      </c>
      <c r="D128">
        <v>37</v>
      </c>
      <c r="E128">
        <v>7</v>
      </c>
      <c r="F128" s="1">
        <f t="shared" si="12"/>
        <v>8.6854460093896719</v>
      </c>
    </row>
    <row r="129" spans="1:6" x14ac:dyDescent="0.25">
      <c r="A129">
        <v>128</v>
      </c>
      <c r="B129">
        <v>2018</v>
      </c>
      <c r="C129" t="s">
        <v>32</v>
      </c>
      <c r="D129">
        <v>34</v>
      </c>
      <c r="E129">
        <v>8</v>
      </c>
      <c r="F129" s="1">
        <f t="shared" si="12"/>
        <v>7.981220657276995</v>
      </c>
    </row>
    <row r="130" spans="1:6" x14ac:dyDescent="0.25">
      <c r="A130">
        <v>129</v>
      </c>
      <c r="B130">
        <v>2018</v>
      </c>
      <c r="C130" t="s">
        <v>24</v>
      </c>
      <c r="D130">
        <v>30</v>
      </c>
      <c r="E130">
        <v>9</v>
      </c>
      <c r="F130" s="1">
        <f t="shared" si="12"/>
        <v>7.042253521126761</v>
      </c>
    </row>
    <row r="131" spans="1:6" x14ac:dyDescent="0.25">
      <c r="A131">
        <v>130</v>
      </c>
      <c r="B131">
        <v>2018</v>
      </c>
      <c r="C131" t="s">
        <v>36</v>
      </c>
      <c r="D131">
        <v>29</v>
      </c>
      <c r="E131">
        <v>10</v>
      </c>
      <c r="F131" s="1">
        <f t="shared" si="12"/>
        <v>6.807511737089202</v>
      </c>
    </row>
    <row r="132" spans="1:6" x14ac:dyDescent="0.25">
      <c r="A132">
        <v>131</v>
      </c>
      <c r="B132">
        <v>2019</v>
      </c>
      <c r="C132" t="s">
        <v>4</v>
      </c>
      <c r="D132">
        <v>84</v>
      </c>
      <c r="E132">
        <v>1</v>
      </c>
      <c r="F132" s="1">
        <f>(D132/SUM($D$132:$D$141))*100</f>
        <v>18.103448275862068</v>
      </c>
    </row>
    <row r="133" spans="1:6" x14ac:dyDescent="0.25">
      <c r="A133">
        <v>132</v>
      </c>
      <c r="B133">
        <v>2019</v>
      </c>
      <c r="C133" t="s">
        <v>5</v>
      </c>
      <c r="D133">
        <v>59</v>
      </c>
      <c r="E133">
        <v>2</v>
      </c>
      <c r="F133" s="1">
        <f t="shared" ref="F133:F141" si="13">(D133/SUM($D$132:$D$141))*100</f>
        <v>12.71551724137931</v>
      </c>
    </row>
    <row r="134" spans="1:6" x14ac:dyDescent="0.25">
      <c r="A134">
        <v>133</v>
      </c>
      <c r="B134">
        <v>2019</v>
      </c>
      <c r="C134" t="s">
        <v>16</v>
      </c>
      <c r="D134">
        <v>56</v>
      </c>
      <c r="E134">
        <v>3</v>
      </c>
      <c r="F134" s="1">
        <f t="shared" si="13"/>
        <v>12.068965517241379</v>
      </c>
    </row>
    <row r="135" spans="1:6" x14ac:dyDescent="0.25">
      <c r="A135">
        <v>134</v>
      </c>
      <c r="B135">
        <v>2019</v>
      </c>
      <c r="C135" t="s">
        <v>9</v>
      </c>
      <c r="D135">
        <v>48</v>
      </c>
      <c r="E135">
        <v>4</v>
      </c>
      <c r="F135" s="1">
        <f t="shared" si="13"/>
        <v>10.344827586206897</v>
      </c>
    </row>
    <row r="136" spans="1:6" x14ac:dyDescent="0.25">
      <c r="A136">
        <v>135</v>
      </c>
      <c r="B136">
        <v>2019</v>
      </c>
      <c r="C136" t="s">
        <v>32</v>
      </c>
      <c r="D136">
        <v>44</v>
      </c>
      <c r="E136">
        <v>5</v>
      </c>
      <c r="F136" s="1">
        <f t="shared" si="13"/>
        <v>9.4827586206896548</v>
      </c>
    </row>
    <row r="137" spans="1:6" x14ac:dyDescent="0.25">
      <c r="A137">
        <v>136</v>
      </c>
      <c r="B137">
        <v>2019</v>
      </c>
      <c r="C137" t="s">
        <v>36</v>
      </c>
      <c r="D137">
        <v>41</v>
      </c>
      <c r="E137">
        <v>6</v>
      </c>
      <c r="F137" s="1">
        <f t="shared" si="13"/>
        <v>8.8362068965517242</v>
      </c>
    </row>
    <row r="138" spans="1:6" x14ac:dyDescent="0.25">
      <c r="A138">
        <v>137</v>
      </c>
      <c r="B138">
        <v>2019</v>
      </c>
      <c r="C138" t="s">
        <v>6</v>
      </c>
      <c r="D138">
        <v>39</v>
      </c>
      <c r="E138">
        <v>7</v>
      </c>
      <c r="F138" s="1">
        <f t="shared" si="13"/>
        <v>8.4051724137931032</v>
      </c>
    </row>
    <row r="139" spans="1:6" x14ac:dyDescent="0.25">
      <c r="A139">
        <v>138</v>
      </c>
      <c r="B139">
        <v>2019</v>
      </c>
      <c r="C139" t="s">
        <v>39</v>
      </c>
      <c r="D139">
        <v>32</v>
      </c>
      <c r="E139">
        <v>8</v>
      </c>
      <c r="F139" s="1">
        <f t="shared" si="13"/>
        <v>6.8965517241379306</v>
      </c>
    </row>
    <row r="140" spans="1:6" x14ac:dyDescent="0.25">
      <c r="A140">
        <v>139</v>
      </c>
      <c r="B140">
        <v>2019</v>
      </c>
      <c r="C140" t="s">
        <v>24</v>
      </c>
      <c r="D140">
        <v>31</v>
      </c>
      <c r="E140">
        <v>9</v>
      </c>
      <c r="F140" s="1">
        <f t="shared" si="13"/>
        <v>6.6810344827586201</v>
      </c>
    </row>
    <row r="141" spans="1:6" x14ac:dyDescent="0.25">
      <c r="A141">
        <v>140</v>
      </c>
      <c r="B141">
        <v>2019</v>
      </c>
      <c r="C141" t="s">
        <v>33</v>
      </c>
      <c r="D141">
        <v>30</v>
      </c>
      <c r="E141">
        <v>10</v>
      </c>
      <c r="F141" s="1">
        <f t="shared" si="13"/>
        <v>6.4655172413793105</v>
      </c>
    </row>
    <row r="142" spans="1:6" x14ac:dyDescent="0.25">
      <c r="A142">
        <v>141</v>
      </c>
      <c r="B142">
        <v>2020</v>
      </c>
      <c r="C142" t="s">
        <v>4</v>
      </c>
      <c r="D142">
        <v>67</v>
      </c>
      <c r="E142">
        <v>1</v>
      </c>
      <c r="F142" s="1">
        <f>(D142/SUM($D$142:$D$151))*100</f>
        <v>15.473441108545035</v>
      </c>
    </row>
    <row r="143" spans="1:6" x14ac:dyDescent="0.25">
      <c r="A143">
        <v>142</v>
      </c>
      <c r="B143">
        <v>2020</v>
      </c>
      <c r="C143" t="s">
        <v>5</v>
      </c>
      <c r="D143">
        <v>54</v>
      </c>
      <c r="E143">
        <v>2</v>
      </c>
      <c r="F143" s="1">
        <f t="shared" ref="F143:F151" si="14">(D143/SUM($D$142:$D$151))*100</f>
        <v>12.471131639722865</v>
      </c>
    </row>
    <row r="144" spans="1:6" x14ac:dyDescent="0.25">
      <c r="A144">
        <v>143</v>
      </c>
      <c r="B144">
        <v>2020</v>
      </c>
      <c r="C144" t="s">
        <v>6</v>
      </c>
      <c r="D144">
        <v>48</v>
      </c>
      <c r="E144">
        <v>3</v>
      </c>
      <c r="F144" s="1">
        <f t="shared" si="14"/>
        <v>11.085450346420323</v>
      </c>
    </row>
    <row r="145" spans="1:6" x14ac:dyDescent="0.25">
      <c r="A145">
        <v>144</v>
      </c>
      <c r="B145">
        <v>2020</v>
      </c>
      <c r="C145" t="s">
        <v>16</v>
      </c>
      <c r="D145">
        <v>42</v>
      </c>
      <c r="E145">
        <v>4</v>
      </c>
      <c r="F145" s="1">
        <f t="shared" si="14"/>
        <v>9.6997690531177838</v>
      </c>
    </row>
    <row r="146" spans="1:6" x14ac:dyDescent="0.25">
      <c r="A146">
        <v>145</v>
      </c>
      <c r="B146">
        <v>2020</v>
      </c>
      <c r="C146" t="s">
        <v>32</v>
      </c>
      <c r="D146">
        <v>40</v>
      </c>
      <c r="E146">
        <v>5</v>
      </c>
      <c r="F146" s="1">
        <f t="shared" si="14"/>
        <v>9.2378752886836022</v>
      </c>
    </row>
    <row r="147" spans="1:6" x14ac:dyDescent="0.25">
      <c r="A147">
        <v>146</v>
      </c>
      <c r="B147">
        <v>2020</v>
      </c>
      <c r="C147" t="s">
        <v>37</v>
      </c>
      <c r="D147">
        <v>38</v>
      </c>
      <c r="E147">
        <v>6</v>
      </c>
      <c r="F147" s="1">
        <f t="shared" si="14"/>
        <v>8.7759815242494223</v>
      </c>
    </row>
    <row r="148" spans="1:6" x14ac:dyDescent="0.25">
      <c r="A148">
        <v>147</v>
      </c>
      <c r="B148">
        <v>2020</v>
      </c>
      <c r="C148" t="s">
        <v>36</v>
      </c>
      <c r="D148">
        <v>38</v>
      </c>
      <c r="E148">
        <v>7</v>
      </c>
      <c r="F148" s="1">
        <f t="shared" si="14"/>
        <v>8.7759815242494223</v>
      </c>
    </row>
    <row r="149" spans="1:6" x14ac:dyDescent="0.25">
      <c r="A149">
        <v>148</v>
      </c>
      <c r="B149">
        <v>2020</v>
      </c>
      <c r="C149" t="s">
        <v>11</v>
      </c>
      <c r="D149">
        <v>36</v>
      </c>
      <c r="E149">
        <v>8</v>
      </c>
      <c r="F149" s="1">
        <f t="shared" si="14"/>
        <v>8.3140877598152425</v>
      </c>
    </row>
    <row r="150" spans="1:6" x14ac:dyDescent="0.25">
      <c r="A150">
        <v>149</v>
      </c>
      <c r="B150">
        <v>2020</v>
      </c>
      <c r="C150" t="s">
        <v>18</v>
      </c>
      <c r="D150">
        <v>35</v>
      </c>
      <c r="E150">
        <v>9</v>
      </c>
      <c r="F150" s="1">
        <f t="shared" si="14"/>
        <v>8.0831408775981526</v>
      </c>
    </row>
    <row r="151" spans="1:6" x14ac:dyDescent="0.25">
      <c r="A151">
        <v>150</v>
      </c>
      <c r="B151">
        <v>2020</v>
      </c>
      <c r="C151" t="s">
        <v>19</v>
      </c>
      <c r="D151">
        <v>35</v>
      </c>
      <c r="E151">
        <v>10</v>
      </c>
      <c r="F151" s="1">
        <f t="shared" si="14"/>
        <v>8.0831408775981526</v>
      </c>
    </row>
    <row r="152" spans="1:6" x14ac:dyDescent="0.25">
      <c r="A152">
        <v>151</v>
      </c>
      <c r="B152">
        <v>2021</v>
      </c>
      <c r="C152" t="s">
        <v>4</v>
      </c>
      <c r="D152">
        <v>73</v>
      </c>
      <c r="E152">
        <v>1</v>
      </c>
      <c r="F152" s="1">
        <f>(D152/SUM($D$152:$D$161))*100</f>
        <v>18.06930693069307</v>
      </c>
    </row>
    <row r="153" spans="1:6" x14ac:dyDescent="0.25">
      <c r="A153">
        <v>152</v>
      </c>
      <c r="B153">
        <v>2021</v>
      </c>
      <c r="C153" t="s">
        <v>32</v>
      </c>
      <c r="D153">
        <v>53</v>
      </c>
      <c r="E153">
        <v>2</v>
      </c>
      <c r="F153" s="1">
        <f t="shared" ref="F153:F161" si="15">(D153/SUM($D$152:$D$161))*100</f>
        <v>13.118811881188119</v>
      </c>
    </row>
    <row r="154" spans="1:6" x14ac:dyDescent="0.25">
      <c r="A154">
        <v>153</v>
      </c>
      <c r="B154">
        <v>2021</v>
      </c>
      <c r="C154" t="s">
        <v>11</v>
      </c>
      <c r="D154">
        <v>45</v>
      </c>
      <c r="E154">
        <v>3</v>
      </c>
      <c r="F154" s="1">
        <f t="shared" si="15"/>
        <v>11.138613861386139</v>
      </c>
    </row>
    <row r="155" spans="1:6" x14ac:dyDescent="0.25">
      <c r="A155">
        <v>154</v>
      </c>
      <c r="B155">
        <v>2021</v>
      </c>
      <c r="C155" t="s">
        <v>37</v>
      </c>
      <c r="D155">
        <v>42</v>
      </c>
      <c r="E155">
        <v>4</v>
      </c>
      <c r="F155" s="1">
        <f t="shared" si="15"/>
        <v>10.396039603960396</v>
      </c>
    </row>
    <row r="156" spans="1:6" x14ac:dyDescent="0.25">
      <c r="A156">
        <v>155</v>
      </c>
      <c r="B156">
        <v>2021</v>
      </c>
      <c r="C156" t="s">
        <v>6</v>
      </c>
      <c r="D156">
        <v>33</v>
      </c>
      <c r="E156">
        <v>5</v>
      </c>
      <c r="F156" s="1">
        <f t="shared" si="15"/>
        <v>8.1683168316831694</v>
      </c>
    </row>
    <row r="157" spans="1:6" x14ac:dyDescent="0.25">
      <c r="A157">
        <v>156</v>
      </c>
      <c r="B157">
        <v>2021</v>
      </c>
      <c r="C157" t="s">
        <v>40</v>
      </c>
      <c r="D157">
        <v>33</v>
      </c>
      <c r="E157">
        <v>6</v>
      </c>
      <c r="F157" s="1">
        <f t="shared" si="15"/>
        <v>8.1683168316831694</v>
      </c>
    </row>
    <row r="158" spans="1:6" x14ac:dyDescent="0.25">
      <c r="A158">
        <v>157</v>
      </c>
      <c r="B158">
        <v>2021</v>
      </c>
      <c r="C158" t="s">
        <v>18</v>
      </c>
      <c r="D158">
        <v>32</v>
      </c>
      <c r="E158">
        <v>7</v>
      </c>
      <c r="F158" s="1">
        <f t="shared" si="15"/>
        <v>7.9207920792079207</v>
      </c>
    </row>
    <row r="159" spans="1:6" x14ac:dyDescent="0.25">
      <c r="A159">
        <v>158</v>
      </c>
      <c r="B159">
        <v>2021</v>
      </c>
      <c r="C159" t="s">
        <v>36</v>
      </c>
      <c r="D159">
        <v>32</v>
      </c>
      <c r="E159">
        <v>8</v>
      </c>
      <c r="F159" s="1">
        <f t="shared" si="15"/>
        <v>7.9207920792079207</v>
      </c>
    </row>
    <row r="160" spans="1:6" x14ac:dyDescent="0.25">
      <c r="A160">
        <v>159</v>
      </c>
      <c r="B160">
        <v>2021</v>
      </c>
      <c r="C160" t="s">
        <v>41</v>
      </c>
      <c r="D160">
        <v>31</v>
      </c>
      <c r="E160">
        <v>9</v>
      </c>
      <c r="F160" s="1">
        <f t="shared" si="15"/>
        <v>7.673267326732673</v>
      </c>
    </row>
    <row r="161" spans="1:6" x14ac:dyDescent="0.25">
      <c r="A161">
        <v>160</v>
      </c>
      <c r="B161">
        <v>2021</v>
      </c>
      <c r="C161" t="s">
        <v>5</v>
      </c>
      <c r="D161">
        <v>30</v>
      </c>
      <c r="E161">
        <v>10</v>
      </c>
      <c r="F161" s="1">
        <f t="shared" si="15"/>
        <v>7.4257425742574252</v>
      </c>
    </row>
    <row r="162" spans="1:6" x14ac:dyDescent="0.25">
      <c r="A162">
        <v>161</v>
      </c>
      <c r="B162">
        <v>2022</v>
      </c>
      <c r="C162" t="s">
        <v>4</v>
      </c>
      <c r="D162">
        <v>58</v>
      </c>
      <c r="E162">
        <v>1</v>
      </c>
      <c r="F162" s="1">
        <f>(D162/SUM($D$162:$D$171))*100</f>
        <v>18.954248366013072</v>
      </c>
    </row>
    <row r="163" spans="1:6" x14ac:dyDescent="0.25">
      <c r="A163">
        <v>162</v>
      </c>
      <c r="B163">
        <v>2022</v>
      </c>
      <c r="C163" t="s">
        <v>11</v>
      </c>
      <c r="D163">
        <v>33</v>
      </c>
      <c r="E163">
        <v>2</v>
      </c>
      <c r="F163" s="1">
        <f t="shared" ref="F163:F171" si="16">(D163/SUM($D$162:$D$171))*100</f>
        <v>10.784313725490197</v>
      </c>
    </row>
    <row r="164" spans="1:6" x14ac:dyDescent="0.25">
      <c r="A164">
        <v>163</v>
      </c>
      <c r="B164">
        <v>2022</v>
      </c>
      <c r="C164" t="s">
        <v>6</v>
      </c>
      <c r="D164">
        <v>32</v>
      </c>
      <c r="E164">
        <v>3</v>
      </c>
      <c r="F164" s="1">
        <f t="shared" si="16"/>
        <v>10.457516339869281</v>
      </c>
    </row>
    <row r="165" spans="1:6" x14ac:dyDescent="0.25">
      <c r="A165">
        <v>164</v>
      </c>
      <c r="B165">
        <v>2022</v>
      </c>
      <c r="C165" t="s">
        <v>41</v>
      </c>
      <c r="D165">
        <v>32</v>
      </c>
      <c r="E165">
        <v>4</v>
      </c>
      <c r="F165" s="1">
        <f t="shared" si="16"/>
        <v>10.457516339869281</v>
      </c>
    </row>
    <row r="166" spans="1:6" x14ac:dyDescent="0.25">
      <c r="A166">
        <v>165</v>
      </c>
      <c r="B166">
        <v>2022</v>
      </c>
      <c r="C166" t="s">
        <v>32</v>
      </c>
      <c r="D166">
        <v>29</v>
      </c>
      <c r="E166">
        <v>5</v>
      </c>
      <c r="F166" s="1">
        <f t="shared" si="16"/>
        <v>9.477124183006536</v>
      </c>
    </row>
    <row r="167" spans="1:6" x14ac:dyDescent="0.25">
      <c r="A167">
        <v>166</v>
      </c>
      <c r="B167">
        <v>2022</v>
      </c>
      <c r="C167" t="s">
        <v>36</v>
      </c>
      <c r="D167">
        <v>28</v>
      </c>
      <c r="E167">
        <v>6</v>
      </c>
      <c r="F167" s="1">
        <f t="shared" si="16"/>
        <v>9.1503267973856204</v>
      </c>
    </row>
    <row r="168" spans="1:6" x14ac:dyDescent="0.25">
      <c r="A168">
        <v>167</v>
      </c>
      <c r="B168">
        <v>2022</v>
      </c>
      <c r="C168" t="s">
        <v>5</v>
      </c>
      <c r="D168">
        <v>27</v>
      </c>
      <c r="E168">
        <v>7</v>
      </c>
      <c r="F168" s="1">
        <f t="shared" si="16"/>
        <v>8.8235294117647065</v>
      </c>
    </row>
    <row r="169" spans="1:6" x14ac:dyDescent="0.25">
      <c r="A169">
        <v>168</v>
      </c>
      <c r="B169">
        <v>2022</v>
      </c>
      <c r="C169" t="s">
        <v>9</v>
      </c>
      <c r="D169">
        <v>27</v>
      </c>
      <c r="E169">
        <v>8</v>
      </c>
      <c r="F169" s="1">
        <f t="shared" si="16"/>
        <v>8.8235294117647065</v>
      </c>
    </row>
    <row r="170" spans="1:6" x14ac:dyDescent="0.25">
      <c r="A170">
        <v>169</v>
      </c>
      <c r="B170">
        <v>2022</v>
      </c>
      <c r="C170" t="s">
        <v>42</v>
      </c>
      <c r="D170">
        <v>20</v>
      </c>
      <c r="E170">
        <v>9</v>
      </c>
      <c r="F170" s="1">
        <f t="shared" si="16"/>
        <v>6.5359477124183014</v>
      </c>
    </row>
    <row r="171" spans="1:6" x14ac:dyDescent="0.25">
      <c r="A171">
        <v>170</v>
      </c>
      <c r="B171">
        <v>2022</v>
      </c>
      <c r="C171" t="s">
        <v>39</v>
      </c>
      <c r="D171">
        <v>20</v>
      </c>
      <c r="E171">
        <v>10</v>
      </c>
      <c r="F171" s="1">
        <f t="shared" si="16"/>
        <v>6.5359477124183014</v>
      </c>
    </row>
    <row r="172" spans="1:6" x14ac:dyDescent="0.25">
      <c r="A172">
        <v>171</v>
      </c>
      <c r="B172">
        <v>2023</v>
      </c>
      <c r="C172" t="s">
        <v>4</v>
      </c>
      <c r="D172">
        <v>44</v>
      </c>
      <c r="E172">
        <v>1</v>
      </c>
      <c r="F172" s="1">
        <f>(D172/SUM($D$172:$D$181))*100</f>
        <v>20</v>
      </c>
    </row>
    <row r="173" spans="1:6" x14ac:dyDescent="0.25">
      <c r="A173">
        <v>172</v>
      </c>
      <c r="B173">
        <v>2023</v>
      </c>
      <c r="C173" t="s">
        <v>11</v>
      </c>
      <c r="D173">
        <v>35</v>
      </c>
      <c r="E173">
        <v>2</v>
      </c>
      <c r="F173" s="1">
        <f t="shared" ref="F173:F181" si="17">(D173/SUM($D$172:$D$181))*100</f>
        <v>15.909090909090908</v>
      </c>
    </row>
    <row r="174" spans="1:6" x14ac:dyDescent="0.25">
      <c r="A174">
        <v>173</v>
      </c>
      <c r="B174">
        <v>2023</v>
      </c>
      <c r="C174" t="s">
        <v>41</v>
      </c>
      <c r="D174">
        <v>31</v>
      </c>
      <c r="E174">
        <v>3</v>
      </c>
      <c r="F174" s="1">
        <f t="shared" si="17"/>
        <v>14.09090909090909</v>
      </c>
    </row>
    <row r="175" spans="1:6" x14ac:dyDescent="0.25">
      <c r="A175">
        <v>174</v>
      </c>
      <c r="B175">
        <v>2023</v>
      </c>
      <c r="C175" t="s">
        <v>6</v>
      </c>
      <c r="D175">
        <v>23</v>
      </c>
      <c r="E175">
        <v>4</v>
      </c>
      <c r="F175" s="1">
        <f t="shared" si="17"/>
        <v>10.454545454545453</v>
      </c>
    </row>
    <row r="176" spans="1:6" x14ac:dyDescent="0.25">
      <c r="A176">
        <v>175</v>
      </c>
      <c r="B176">
        <v>2023</v>
      </c>
      <c r="C176" t="s">
        <v>32</v>
      </c>
      <c r="D176">
        <v>20</v>
      </c>
      <c r="E176">
        <v>5</v>
      </c>
      <c r="F176" s="1">
        <f t="shared" si="17"/>
        <v>9.0909090909090917</v>
      </c>
    </row>
    <row r="177" spans="1:6" x14ac:dyDescent="0.25">
      <c r="A177">
        <v>176</v>
      </c>
      <c r="B177">
        <v>2023</v>
      </c>
      <c r="C177" t="s">
        <v>9</v>
      </c>
      <c r="D177">
        <v>15</v>
      </c>
      <c r="E177">
        <v>6</v>
      </c>
      <c r="F177" s="1">
        <f t="shared" si="17"/>
        <v>6.8181818181818175</v>
      </c>
    </row>
    <row r="178" spans="1:6" x14ac:dyDescent="0.25">
      <c r="A178">
        <v>177</v>
      </c>
      <c r="B178">
        <v>2023</v>
      </c>
      <c r="C178" t="s">
        <v>43</v>
      </c>
      <c r="D178">
        <v>14</v>
      </c>
      <c r="E178">
        <v>7</v>
      </c>
      <c r="F178" s="1">
        <f t="shared" si="17"/>
        <v>6.3636363636363633</v>
      </c>
    </row>
    <row r="179" spans="1:6" x14ac:dyDescent="0.25">
      <c r="A179">
        <v>178</v>
      </c>
      <c r="B179">
        <v>2023</v>
      </c>
      <c r="C179" t="s">
        <v>36</v>
      </c>
      <c r="D179">
        <v>14</v>
      </c>
      <c r="E179">
        <v>8</v>
      </c>
      <c r="F179" s="1">
        <f t="shared" si="17"/>
        <v>6.3636363636363633</v>
      </c>
    </row>
    <row r="180" spans="1:6" x14ac:dyDescent="0.25">
      <c r="A180">
        <v>179</v>
      </c>
      <c r="B180">
        <v>2023</v>
      </c>
      <c r="C180" t="s">
        <v>44</v>
      </c>
      <c r="D180">
        <v>12</v>
      </c>
      <c r="E180">
        <v>9</v>
      </c>
      <c r="F180" s="1">
        <f t="shared" si="17"/>
        <v>5.4545454545454541</v>
      </c>
    </row>
    <row r="181" spans="1:6" x14ac:dyDescent="0.25">
      <c r="A181">
        <v>180</v>
      </c>
      <c r="B181">
        <v>2023</v>
      </c>
      <c r="C181" t="s">
        <v>45</v>
      </c>
      <c r="D181">
        <v>12</v>
      </c>
      <c r="E181">
        <v>10</v>
      </c>
      <c r="F181" s="1">
        <f t="shared" si="17"/>
        <v>5.4545454545454541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B21" sqref="B21"/>
    </sheetView>
  </sheetViews>
  <sheetFormatPr defaultRowHeight="15" x14ac:dyDescent="0.25"/>
  <cols>
    <col min="5" max="5" width="11.28515625" customWidth="1"/>
  </cols>
  <sheetData>
    <row r="1" spans="1:5" x14ac:dyDescent="0.25">
      <c r="B1" t="s">
        <v>0</v>
      </c>
      <c r="C1" t="s">
        <v>2</v>
      </c>
      <c r="D1" t="s">
        <v>3</v>
      </c>
      <c r="E1" t="s">
        <v>46</v>
      </c>
    </row>
    <row r="2" spans="1:5" x14ac:dyDescent="0.25">
      <c r="A2">
        <v>1</v>
      </c>
      <c r="B2">
        <v>2006</v>
      </c>
      <c r="C2">
        <v>40</v>
      </c>
      <c r="D2">
        <v>1</v>
      </c>
      <c r="E2" s="1">
        <f>(C2/SUM($C$2:$C$2))*100</f>
        <v>100</v>
      </c>
    </row>
    <row r="3" spans="1:5" x14ac:dyDescent="0.25">
      <c r="A3">
        <v>12</v>
      </c>
      <c r="B3">
        <v>2007</v>
      </c>
      <c r="C3">
        <v>34</v>
      </c>
      <c r="D3">
        <v>2</v>
      </c>
      <c r="E3" s="1">
        <f>(C3/SUM($C$3:$C$3))*100</f>
        <v>100</v>
      </c>
    </row>
    <row r="4" spans="1:5" x14ac:dyDescent="0.25">
      <c r="A4">
        <v>26</v>
      </c>
      <c r="B4">
        <v>2008</v>
      </c>
      <c r="C4">
        <v>30</v>
      </c>
      <c r="D4">
        <v>6</v>
      </c>
      <c r="E4" s="1">
        <f>(C4/SUM($C$4:$C$4))*100</f>
        <v>100</v>
      </c>
    </row>
    <row r="5" spans="1:5" x14ac:dyDescent="0.25">
      <c r="A5">
        <v>43</v>
      </c>
      <c r="B5">
        <v>2010</v>
      </c>
      <c r="C5">
        <v>44</v>
      </c>
      <c r="D5">
        <v>3</v>
      </c>
      <c r="E5" s="1">
        <f>(C5/SUM($C$5:$C$5))*100</f>
        <v>100</v>
      </c>
    </row>
    <row r="6" spans="1:5" x14ac:dyDescent="0.25">
      <c r="A6">
        <v>51</v>
      </c>
      <c r="B6">
        <v>2011</v>
      </c>
      <c r="C6">
        <v>65</v>
      </c>
      <c r="D6">
        <v>1</v>
      </c>
      <c r="E6" s="1">
        <f>(C6/SUM($C$6:$C$6))*100</f>
        <v>100</v>
      </c>
    </row>
    <row r="7" spans="1:5" x14ac:dyDescent="0.25">
      <c r="A7">
        <v>64</v>
      </c>
      <c r="B7">
        <v>2012</v>
      </c>
      <c r="C7">
        <v>44</v>
      </c>
      <c r="D7">
        <v>4</v>
      </c>
      <c r="E7" s="1">
        <f>(C7/SUM($C$7:$C$7))*100</f>
        <v>100</v>
      </c>
    </row>
    <row r="8" spans="1:5" x14ac:dyDescent="0.25">
      <c r="A8">
        <v>71</v>
      </c>
      <c r="B8">
        <v>2013</v>
      </c>
      <c r="C8">
        <v>95</v>
      </c>
      <c r="D8">
        <v>1</v>
      </c>
      <c r="E8" s="1">
        <f>(C8/SUM($C$8:$C$8))*100</f>
        <v>100</v>
      </c>
    </row>
    <row r="9" spans="1:5" x14ac:dyDescent="0.25">
      <c r="A9">
        <v>81</v>
      </c>
      <c r="B9">
        <v>2014</v>
      </c>
      <c r="C9">
        <v>121</v>
      </c>
      <c r="D9">
        <v>1</v>
      </c>
      <c r="E9" s="1">
        <f>(C9/SUM($C$9:$C$9))*100</f>
        <v>100</v>
      </c>
    </row>
    <row r="10" spans="1:5" x14ac:dyDescent="0.25">
      <c r="A10">
        <v>91</v>
      </c>
      <c r="B10">
        <v>2015</v>
      </c>
      <c r="C10">
        <v>96</v>
      </c>
      <c r="D10">
        <v>1</v>
      </c>
      <c r="E10" s="1">
        <f>(C10/SUM($C$10:$C$10))*100</f>
        <v>100</v>
      </c>
    </row>
    <row r="11" spans="1:5" x14ac:dyDescent="0.25">
      <c r="A11">
        <v>101</v>
      </c>
      <c r="B11">
        <v>2016</v>
      </c>
      <c r="C11">
        <v>81</v>
      </c>
      <c r="D11">
        <v>1</v>
      </c>
      <c r="E11" s="1">
        <f>(C11/SUM($C$11:$C$11))*100</f>
        <v>100</v>
      </c>
    </row>
    <row r="12" spans="1:5" x14ac:dyDescent="0.25">
      <c r="A12">
        <v>111</v>
      </c>
      <c r="B12">
        <v>2017</v>
      </c>
      <c r="C12">
        <v>96</v>
      </c>
      <c r="D12">
        <v>1</v>
      </c>
      <c r="E12" s="1">
        <f>(C12/SUM($C$12:$C$12))*100</f>
        <v>100</v>
      </c>
    </row>
    <row r="13" spans="1:5" x14ac:dyDescent="0.25">
      <c r="A13">
        <v>121</v>
      </c>
      <c r="B13">
        <v>2018</v>
      </c>
      <c r="C13">
        <v>75</v>
      </c>
      <c r="D13">
        <v>1</v>
      </c>
      <c r="E13" s="1">
        <f>(C13/SUM($C$13:$C$13))*100</f>
        <v>100</v>
      </c>
    </row>
    <row r="14" spans="1:5" x14ac:dyDescent="0.25">
      <c r="A14">
        <v>131</v>
      </c>
      <c r="B14">
        <v>2019</v>
      </c>
      <c r="C14">
        <v>84</v>
      </c>
      <c r="D14">
        <v>1</v>
      </c>
      <c r="E14" s="1">
        <f>(C14/SUM($C$14:$C$14))*100</f>
        <v>100</v>
      </c>
    </row>
    <row r="15" spans="1:5" x14ac:dyDescent="0.25">
      <c r="A15">
        <v>141</v>
      </c>
      <c r="B15">
        <v>2020</v>
      </c>
      <c r="C15">
        <v>67</v>
      </c>
      <c r="D15">
        <v>1</v>
      </c>
      <c r="E15" s="1">
        <f>(C15/SUM($C$15:$C$15))*100</f>
        <v>100</v>
      </c>
    </row>
    <row r="16" spans="1:5" x14ac:dyDescent="0.25">
      <c r="A16">
        <v>151</v>
      </c>
      <c r="B16">
        <v>2021</v>
      </c>
      <c r="C16">
        <v>73</v>
      </c>
      <c r="D16">
        <v>1</v>
      </c>
      <c r="E16" s="1">
        <f>(C16/SUM($C$16:$C$16))*100</f>
        <v>100</v>
      </c>
    </row>
    <row r="17" spans="1:5" x14ac:dyDescent="0.25">
      <c r="A17">
        <v>161</v>
      </c>
      <c r="B17">
        <v>2022</v>
      </c>
      <c r="C17">
        <v>58</v>
      </c>
      <c r="D17">
        <v>1</v>
      </c>
      <c r="E17" s="1">
        <f>(C17/SUM($C$17:$C$17))*100</f>
        <v>100</v>
      </c>
    </row>
    <row r="18" spans="1:5" x14ac:dyDescent="0.25">
      <c r="A18">
        <v>171</v>
      </c>
      <c r="B18">
        <v>2023</v>
      </c>
      <c r="C18">
        <v>44</v>
      </c>
      <c r="D18">
        <v>1</v>
      </c>
      <c r="E18" s="1">
        <f>(C18/SUM($C$18:$C$18))*100</f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Parito</vt:lpstr>
      <vt:lpstr>Freq_%</vt:lpstr>
      <vt:lpstr>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SASTRA</dc:creator>
  <cp:lastModifiedBy>SASTRA</cp:lastModifiedBy>
  <dcterms:created xsi:type="dcterms:W3CDTF">2023-09-05T09:05:12Z</dcterms:created>
  <dcterms:modified xsi:type="dcterms:W3CDTF">2023-10-29T08:04:01Z</dcterms:modified>
</cp:coreProperties>
</file>